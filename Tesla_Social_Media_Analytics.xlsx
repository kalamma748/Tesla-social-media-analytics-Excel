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4.xml" ContentType="application/vnd.openxmlformats-officedocument.spreadsheetml.table+xml"/>
  <Override PartName="/xl/pivotTables/pivotTable13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908fa80301a620d/Documents/Kala/Excel/ExcelProject/"/>
    </mc:Choice>
  </mc:AlternateContent>
  <xr:revisionPtr revIDLastSave="10" documentId="13_ncr:1_{DF01108A-4EBA-4EEE-BB89-8B0E5980661E}" xr6:coauthVersionLast="47" xr6:coauthVersionMax="47" xr10:uidLastSave="{65B71106-8429-44B7-A031-917F3B47852C}"/>
  <bookViews>
    <workbookView xWindow="-108" yWindow="-108" windowWidth="23256" windowHeight="12456" firstSheet="1" activeTab="1" xr2:uid="{00000000-000D-0000-FFFF-FFFF00000000}"/>
  </bookViews>
  <sheets>
    <sheet name="Posts" sheetId="1" state="hidden" r:id="rId1"/>
    <sheet name="Posts1" sheetId="9" r:id="rId2"/>
    <sheet name="Engagement Summary1" sheetId="22" r:id="rId3"/>
    <sheet name="Campaign Metadata" sheetId="3" r:id="rId4"/>
    <sheet name="Task2.1&amp;2.2" sheetId="10" r:id="rId5"/>
    <sheet name="Task2.3&amp;2.4" sheetId="6" r:id="rId6"/>
    <sheet name="Task 3.1&amp;3.2" sheetId="14" r:id="rId7"/>
    <sheet name="Task3.3&amp;3.4" sheetId="16" r:id="rId8"/>
    <sheet name="Task4.1&amp;4.2" sheetId="17" r:id="rId9"/>
    <sheet name="Task4.3&amp;4.4" sheetId="19" r:id="rId10"/>
    <sheet name="Engagement Summary" sheetId="2" state="hidden" r:id="rId11"/>
    <sheet name="Task5.1" sheetId="18" r:id="rId12"/>
    <sheet name="Task5.2" sheetId="20" r:id="rId13"/>
    <sheet name="Task6.1&amp;6.2" sheetId="21" r:id="rId14"/>
    <sheet name="6.3&amp;6.4" sheetId="24" r:id="rId15"/>
    <sheet name="Video" sheetId="25" r:id="rId16"/>
    <sheet name="Sheet1" sheetId="26" r:id="rId17"/>
  </sheets>
  <definedNames>
    <definedName name="_xlnm._FilterDatabase" localSheetId="10" hidden="1">'Engagement Summary'!$A$1:$I$201</definedName>
    <definedName name="ExternalData_1" localSheetId="2" hidden="1">'Engagement Summary1'!$A$1:$I$201</definedName>
    <definedName name="ExternalData_1" localSheetId="1" hidden="1">Posts1!$A$1:$M$340</definedName>
  </definedNames>
  <calcPr calcId="181029"/>
  <pivotCaches>
    <pivotCache cacheId="0" r:id="rId18"/>
    <pivotCache cacheId="1" r:id="rId19"/>
    <pivotCache cacheId="2" r:id="rId20"/>
    <pivotCache cacheId="3" r:id="rId21"/>
    <pivotCache cacheId="4" r:id="rId22"/>
    <pivotCache cacheId="5" r:id="rId23"/>
    <pivotCache cacheId="6" r:id="rId24"/>
  </pivotCaches>
</workbook>
</file>

<file path=xl/calcChain.xml><?xml version="1.0" encoding="utf-8"?>
<calcChain xmlns="http://schemas.openxmlformats.org/spreadsheetml/2006/main">
  <c r="K20" i="24" l="1"/>
  <c r="K7" i="20"/>
  <c r="K6" i="20"/>
  <c r="K5" i="20"/>
  <c r="K4" i="20"/>
  <c r="H16" i="18"/>
  <c r="H18" i="18"/>
  <c r="J18" i="18" s="1"/>
  <c r="G19" i="18"/>
  <c r="I19" i="18" s="1"/>
  <c r="G17" i="18"/>
  <c r="I17" i="18" s="1"/>
  <c r="G18" i="18"/>
  <c r="I18" i="18" s="1"/>
  <c r="G16" i="18"/>
  <c r="I16" i="18" s="1"/>
  <c r="E17" i="18"/>
  <c r="F17" i="18" s="1"/>
  <c r="H17" i="18" s="1"/>
  <c r="J17" i="18" s="1"/>
  <c r="E18" i="18"/>
  <c r="F18" i="18" s="1"/>
  <c r="E19" i="18"/>
  <c r="F19" i="18" s="1"/>
  <c r="H19" i="18" s="1"/>
  <c r="J19" i="18" s="1"/>
  <c r="E16" i="18"/>
  <c r="F16" i="18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  <c r="O267" i="9"/>
  <c r="O268" i="9"/>
  <c r="O71" i="9"/>
  <c r="O72" i="9"/>
  <c r="O200" i="9"/>
  <c r="O203" i="9"/>
  <c r="O96" i="9"/>
  <c r="O97" i="9"/>
  <c r="O126" i="9"/>
  <c r="O118" i="9"/>
  <c r="O106" i="9"/>
  <c r="O69" i="9"/>
  <c r="O50" i="9"/>
  <c r="O204" i="9"/>
  <c r="O194" i="9"/>
  <c r="O285" i="9"/>
  <c r="O73" i="9"/>
  <c r="O99" i="9"/>
  <c r="O128" i="9"/>
  <c r="O66" i="9"/>
  <c r="O159" i="9"/>
  <c r="O294" i="9"/>
  <c r="O76" i="9"/>
  <c r="O21" i="9"/>
  <c r="O264" i="9"/>
  <c r="O240" i="9"/>
  <c r="O241" i="9"/>
  <c r="O84" i="9"/>
  <c r="O169" i="9"/>
  <c r="O155" i="9"/>
  <c r="O246" i="9"/>
  <c r="O322" i="9"/>
  <c r="O220" i="9"/>
  <c r="O183" i="9"/>
  <c r="O332" i="9"/>
  <c r="O232" i="9"/>
  <c r="O256" i="9"/>
  <c r="O260" i="9"/>
  <c r="O135" i="9"/>
  <c r="O51" i="9"/>
  <c r="O119" i="9"/>
  <c r="O167" i="9"/>
  <c r="O115" i="9"/>
  <c r="O39" i="9"/>
  <c r="O303" i="9"/>
  <c r="O222" i="9"/>
  <c r="O209" i="9"/>
  <c r="O174" i="9"/>
  <c r="O153" i="9"/>
  <c r="O304" i="9"/>
  <c r="O164" i="9"/>
  <c r="O219" i="9"/>
  <c r="O197" i="9"/>
  <c r="O198" i="9"/>
  <c r="O201" i="9"/>
  <c r="O286" i="9"/>
  <c r="O305" i="9"/>
  <c r="O306" i="9"/>
  <c r="O190" i="9"/>
  <c r="O312" i="9"/>
  <c r="O152" i="9"/>
  <c r="O163" i="9"/>
  <c r="O329" i="9"/>
  <c r="O212" i="9"/>
  <c r="O269" i="9"/>
  <c r="O270" i="9"/>
  <c r="O271" i="9"/>
  <c r="O2" i="9"/>
  <c r="O338" i="9"/>
  <c r="O94" i="9"/>
  <c r="O168" i="9"/>
  <c r="O239" i="9"/>
  <c r="O330" i="9"/>
  <c r="O29" i="9"/>
  <c r="O192" i="9"/>
  <c r="O244" i="9"/>
  <c r="O311" i="9"/>
  <c r="O160" i="9"/>
  <c r="O339" i="9"/>
  <c r="O62" i="9"/>
  <c r="O252" i="9"/>
  <c r="O224" i="9"/>
  <c r="O317" i="9"/>
  <c r="O280" i="9"/>
  <c r="O298" i="9"/>
  <c r="O170" i="9"/>
  <c r="O188" i="9"/>
  <c r="O272" i="9"/>
  <c r="O318" i="9"/>
  <c r="O319" i="9"/>
  <c r="O320" i="9"/>
  <c r="O296" i="9"/>
  <c r="O191" i="9"/>
  <c r="O87" i="9"/>
  <c r="O150" i="9"/>
  <c r="O151" i="9"/>
  <c r="O221" i="9"/>
  <c r="O333" i="9"/>
  <c r="O231" i="9"/>
  <c r="O75" i="9"/>
  <c r="O265" i="9"/>
  <c r="O54" i="9"/>
  <c r="O245" i="9"/>
  <c r="O186" i="9"/>
  <c r="O148" i="9"/>
  <c r="O262" i="9"/>
  <c r="O30" i="9"/>
  <c r="O31" i="9"/>
  <c r="O211" i="9"/>
  <c r="O86" i="9"/>
  <c r="O251" i="9"/>
  <c r="O23" i="9"/>
  <c r="O257" i="9"/>
  <c r="O134" i="9"/>
  <c r="O105" i="9"/>
  <c r="O335" i="9"/>
  <c r="O9" i="9"/>
  <c r="O16" i="9"/>
  <c r="O42" i="9"/>
  <c r="O122" i="9"/>
  <c r="O92" i="9"/>
  <c r="O193" i="9"/>
  <c r="O189" i="9"/>
  <c r="O65" i="9"/>
  <c r="O53" i="9"/>
  <c r="O226" i="9"/>
  <c r="O227" i="9"/>
  <c r="O117" i="9"/>
  <c r="O242" i="9"/>
  <c r="O28" i="9"/>
  <c r="O185" i="9"/>
  <c r="O266" i="9"/>
  <c r="O295" i="9"/>
  <c r="O109" i="9"/>
  <c r="O56" i="9"/>
  <c r="O283" i="9"/>
  <c r="O80" i="9"/>
  <c r="O101" i="9"/>
  <c r="O102" i="9"/>
  <c r="O173" i="9"/>
  <c r="O199" i="9"/>
  <c r="O178" i="9"/>
  <c r="O17" i="9"/>
  <c r="O205" i="9"/>
  <c r="O223" i="9"/>
  <c r="O136" i="9"/>
  <c r="O77" i="9"/>
  <c r="O107" i="9"/>
  <c r="O184" i="9"/>
  <c r="O334" i="9"/>
  <c r="O187" i="9"/>
  <c r="O207" i="9"/>
  <c r="O208" i="9"/>
  <c r="O111" i="9"/>
  <c r="O218" i="9"/>
  <c r="O337" i="9"/>
  <c r="O3" i="9"/>
  <c r="O258" i="9"/>
  <c r="O138" i="9"/>
  <c r="O139" i="9"/>
  <c r="O137" i="9"/>
  <c r="O74" i="9"/>
  <c r="O229" i="9"/>
  <c r="O27" i="9"/>
  <c r="O147" i="9"/>
  <c r="O19" i="9"/>
  <c r="O321" i="9"/>
  <c r="O254" i="9"/>
  <c r="O230" i="9"/>
  <c r="O91" i="9"/>
  <c r="O55" i="9"/>
  <c r="O233" i="9"/>
  <c r="O217" i="9"/>
  <c r="O281" i="9"/>
  <c r="O10" i="9"/>
  <c r="O130" i="9"/>
  <c r="O49" i="9"/>
  <c r="O4" i="9"/>
  <c r="O5" i="9"/>
  <c r="O172" i="9"/>
  <c r="O284" i="9"/>
  <c r="O18" i="9"/>
  <c r="O180" i="9"/>
  <c r="O121" i="9"/>
  <c r="O98" i="9"/>
  <c r="O279" i="9"/>
  <c r="O154" i="9"/>
  <c r="O250" i="9"/>
  <c r="O127" i="9"/>
  <c r="O325" i="9"/>
  <c r="O132" i="9"/>
  <c r="O141" i="9"/>
  <c r="O328" i="9"/>
  <c r="O83" i="9"/>
  <c r="O116" i="9"/>
  <c r="O275" i="9"/>
  <c r="O48" i="9"/>
  <c r="O314" i="9"/>
  <c r="O113" i="9"/>
  <c r="O93" i="9"/>
  <c r="O95" i="9"/>
  <c r="O249" i="9"/>
  <c r="O175" i="9"/>
  <c r="O112" i="9"/>
  <c r="O255" i="9"/>
  <c r="O24" i="9"/>
  <c r="O263" i="9"/>
  <c r="O40" i="9"/>
  <c r="O57" i="9"/>
  <c r="O290" i="9"/>
  <c r="O291" i="9"/>
  <c r="O292" i="9"/>
  <c r="O238" i="9"/>
  <c r="O22" i="9"/>
  <c r="O274" i="9"/>
  <c r="O196" i="9"/>
  <c r="O110" i="9"/>
  <c r="O315" i="9"/>
  <c r="O243" i="9"/>
  <c r="O131" i="9"/>
  <c r="O179" i="9"/>
  <c r="O88" i="9"/>
  <c r="O89" i="9"/>
  <c r="O301" i="9"/>
  <c r="O78" i="9"/>
  <c r="O79" i="9"/>
  <c r="O149" i="9"/>
  <c r="O161" i="9"/>
  <c r="O162" i="9"/>
  <c r="O293" i="9"/>
  <c r="O247" i="9"/>
  <c r="O90" i="9"/>
  <c r="O156" i="9"/>
  <c r="O297" i="9"/>
  <c r="O8" i="9"/>
  <c r="O282" i="9"/>
  <c r="O15" i="9"/>
  <c r="O215" i="9"/>
  <c r="O278" i="9"/>
  <c r="O327" i="9"/>
  <c r="O70" i="9"/>
  <c r="O213" i="9"/>
  <c r="O214" i="9"/>
  <c r="O157" i="9"/>
  <c r="O313" i="9"/>
  <c r="O64" i="9"/>
  <c r="O253" i="9"/>
  <c r="O336" i="9"/>
  <c r="O11" i="9"/>
  <c r="O14" i="9"/>
  <c r="O140" i="9"/>
  <c r="O276" i="9"/>
  <c r="O326" i="9"/>
  <c r="O216" i="9"/>
  <c r="O277" i="9"/>
  <c r="O104" i="9"/>
  <c r="O287" i="9"/>
  <c r="O288" i="9"/>
  <c r="O289" i="9"/>
  <c r="O85" i="9"/>
  <c r="O26" i="9"/>
  <c r="O46" i="9"/>
  <c r="O308" i="9"/>
  <c r="O309" i="9"/>
  <c r="O310" i="9"/>
  <c r="O32" i="9"/>
  <c r="O41" i="9"/>
  <c r="O82" i="9"/>
  <c r="O7" i="9"/>
  <c r="O59" i="9"/>
  <c r="O302" i="9"/>
  <c r="O123" i="9"/>
  <c r="O124" i="9"/>
  <c r="O125" i="9"/>
  <c r="O323" i="9"/>
  <c r="O316" i="9"/>
  <c r="O67" i="9"/>
  <c r="O237" i="9"/>
  <c r="O228" i="9"/>
  <c r="O100" i="9"/>
  <c r="O206" i="9"/>
  <c r="O103" i="9"/>
  <c r="O248" i="9"/>
  <c r="O143" i="9"/>
  <c r="O144" i="9"/>
  <c r="O145" i="9"/>
  <c r="O114" i="9"/>
  <c r="O331" i="9"/>
  <c r="O36" i="9"/>
  <c r="O37" i="9"/>
  <c r="O38" i="9"/>
  <c r="O6" i="9"/>
  <c r="O307" i="9"/>
  <c r="O171" i="9"/>
  <c r="O340" i="9"/>
  <c r="O210" i="9"/>
  <c r="O58" i="9"/>
  <c r="O120" i="9"/>
  <c r="O68" i="9"/>
  <c r="O60" i="9"/>
  <c r="O133" i="9"/>
  <c r="O108" i="9"/>
  <c r="O20" i="9"/>
  <c r="O146" i="9"/>
  <c r="O129" i="9"/>
  <c r="O202" i="9"/>
  <c r="O273" i="9"/>
  <c r="O47" i="9"/>
  <c r="O25" i="9"/>
  <c r="O12" i="9"/>
  <c r="O33" i="9"/>
  <c r="O34" i="9"/>
  <c r="O35" i="9"/>
  <c r="O166" i="9"/>
  <c r="O261" i="9"/>
  <c r="O158" i="9"/>
  <c r="O324" i="9"/>
  <c r="O81" i="9"/>
  <c r="O142" i="9"/>
  <c r="O259" i="9"/>
  <c r="O13" i="9"/>
  <c r="O182" i="9"/>
  <c r="O195" i="9"/>
  <c r="O63" i="9"/>
  <c r="O299" i="9"/>
  <c r="O300" i="9"/>
  <c r="O165" i="9"/>
  <c r="O52" i="9"/>
  <c r="O234" i="9"/>
  <c r="O235" i="9"/>
  <c r="O236" i="9"/>
  <c r="O176" i="9"/>
  <c r="O177" i="9"/>
  <c r="O225" i="9"/>
  <c r="O61" i="9"/>
  <c r="O181" i="9"/>
  <c r="O43" i="9"/>
  <c r="O44" i="9"/>
  <c r="O45" i="9"/>
  <c r="N267" i="9"/>
  <c r="N268" i="9"/>
  <c r="N71" i="9"/>
  <c r="N72" i="9"/>
  <c r="N200" i="9"/>
  <c r="N203" i="9"/>
  <c r="N96" i="9"/>
  <c r="N97" i="9"/>
  <c r="N126" i="9"/>
  <c r="N118" i="9"/>
  <c r="N106" i="9"/>
  <c r="N69" i="9"/>
  <c r="N50" i="9"/>
  <c r="N204" i="9"/>
  <c r="N194" i="9"/>
  <c r="N285" i="9"/>
  <c r="N73" i="9"/>
  <c r="N99" i="9"/>
  <c r="N128" i="9"/>
  <c r="N66" i="9"/>
  <c r="N159" i="9"/>
  <c r="N294" i="9"/>
  <c r="N76" i="9"/>
  <c r="N21" i="9"/>
  <c r="N264" i="9"/>
  <c r="N240" i="9"/>
  <c r="N241" i="9"/>
  <c r="N84" i="9"/>
  <c r="N169" i="9"/>
  <c r="N155" i="9"/>
  <c r="N246" i="9"/>
  <c r="N322" i="9"/>
  <c r="N220" i="9"/>
  <c r="N183" i="9"/>
  <c r="N332" i="9"/>
  <c r="N232" i="9"/>
  <c r="N256" i="9"/>
  <c r="N260" i="9"/>
  <c r="N135" i="9"/>
  <c r="N51" i="9"/>
  <c r="N119" i="9"/>
  <c r="N167" i="9"/>
  <c r="N115" i="9"/>
  <c r="N39" i="9"/>
  <c r="N303" i="9"/>
  <c r="N222" i="9"/>
  <c r="N209" i="9"/>
  <c r="N174" i="9"/>
  <c r="N153" i="9"/>
  <c r="N304" i="9"/>
  <c r="N164" i="9"/>
  <c r="N219" i="9"/>
  <c r="N197" i="9"/>
  <c r="N198" i="9"/>
  <c r="N201" i="9"/>
  <c r="N286" i="9"/>
  <c r="N305" i="9"/>
  <c r="N306" i="9"/>
  <c r="N190" i="9"/>
  <c r="N312" i="9"/>
  <c r="N152" i="9"/>
  <c r="N163" i="9"/>
  <c r="N329" i="9"/>
  <c r="N212" i="9"/>
  <c r="N269" i="9"/>
  <c r="N270" i="9"/>
  <c r="N271" i="9"/>
  <c r="N2" i="9"/>
  <c r="N338" i="9"/>
  <c r="N94" i="9"/>
  <c r="N168" i="9"/>
  <c r="N239" i="9"/>
  <c r="N330" i="9"/>
  <c r="N29" i="9"/>
  <c r="N192" i="9"/>
  <c r="N244" i="9"/>
  <c r="N311" i="9"/>
  <c r="N160" i="9"/>
  <c r="N339" i="9"/>
  <c r="N62" i="9"/>
  <c r="N252" i="9"/>
  <c r="N224" i="9"/>
  <c r="N317" i="9"/>
  <c r="N280" i="9"/>
  <c r="N298" i="9"/>
  <c r="N170" i="9"/>
  <c r="N188" i="9"/>
  <c r="N272" i="9"/>
  <c r="N318" i="9"/>
  <c r="N319" i="9"/>
  <c r="N320" i="9"/>
  <c r="N296" i="9"/>
  <c r="N191" i="9"/>
  <c r="N87" i="9"/>
  <c r="N150" i="9"/>
  <c r="N151" i="9"/>
  <c r="N221" i="9"/>
  <c r="N333" i="9"/>
  <c r="N231" i="9"/>
  <c r="N75" i="9"/>
  <c r="N265" i="9"/>
  <c r="N54" i="9"/>
  <c r="N245" i="9"/>
  <c r="N186" i="9"/>
  <c r="N148" i="9"/>
  <c r="N262" i="9"/>
  <c r="N30" i="9"/>
  <c r="N31" i="9"/>
  <c r="N211" i="9"/>
  <c r="N86" i="9"/>
  <c r="N251" i="9"/>
  <c r="N23" i="9"/>
  <c r="N257" i="9"/>
  <c r="N134" i="9"/>
  <c r="N105" i="9"/>
  <c r="N335" i="9"/>
  <c r="N9" i="9"/>
  <c r="N16" i="9"/>
  <c r="N42" i="9"/>
  <c r="N122" i="9"/>
  <c r="N92" i="9"/>
  <c r="N193" i="9"/>
  <c r="N189" i="9"/>
  <c r="N65" i="9"/>
  <c r="N53" i="9"/>
  <c r="N226" i="9"/>
  <c r="N227" i="9"/>
  <c r="N117" i="9"/>
  <c r="N242" i="9"/>
  <c r="N28" i="9"/>
  <c r="N185" i="9"/>
  <c r="N266" i="9"/>
  <c r="N295" i="9"/>
  <c r="N109" i="9"/>
  <c r="N56" i="9"/>
  <c r="N283" i="9"/>
  <c r="N80" i="9"/>
  <c r="N101" i="9"/>
  <c r="N102" i="9"/>
  <c r="N173" i="9"/>
  <c r="N199" i="9"/>
  <c r="N178" i="9"/>
  <c r="N17" i="9"/>
  <c r="N205" i="9"/>
  <c r="N223" i="9"/>
  <c r="N136" i="9"/>
  <c r="N77" i="9"/>
  <c r="N107" i="9"/>
  <c r="N184" i="9"/>
  <c r="N334" i="9"/>
  <c r="N187" i="9"/>
  <c r="N207" i="9"/>
  <c r="N208" i="9"/>
  <c r="N111" i="9"/>
  <c r="N218" i="9"/>
  <c r="N337" i="9"/>
  <c r="N3" i="9"/>
  <c r="N258" i="9"/>
  <c r="N138" i="9"/>
  <c r="N139" i="9"/>
  <c r="N137" i="9"/>
  <c r="N74" i="9"/>
  <c r="N229" i="9"/>
  <c r="N27" i="9"/>
  <c r="N147" i="9"/>
  <c r="N19" i="9"/>
  <c r="N321" i="9"/>
  <c r="N254" i="9"/>
  <c r="N230" i="9"/>
  <c r="N91" i="9"/>
  <c r="N55" i="9"/>
  <c r="N233" i="9"/>
  <c r="N217" i="9"/>
  <c r="N281" i="9"/>
  <c r="N10" i="9"/>
  <c r="N130" i="9"/>
  <c r="N49" i="9"/>
  <c r="N4" i="9"/>
  <c r="N5" i="9"/>
  <c r="N172" i="9"/>
  <c r="N284" i="9"/>
  <c r="N18" i="9"/>
  <c r="N180" i="9"/>
  <c r="N121" i="9"/>
  <c r="N98" i="9"/>
  <c r="N279" i="9"/>
  <c r="N154" i="9"/>
  <c r="N250" i="9"/>
  <c r="N127" i="9"/>
  <c r="N325" i="9"/>
  <c r="N132" i="9"/>
  <c r="N141" i="9"/>
  <c r="N328" i="9"/>
  <c r="N83" i="9"/>
  <c r="N116" i="9"/>
  <c r="N275" i="9"/>
  <c r="N48" i="9"/>
  <c r="N314" i="9"/>
  <c r="N113" i="9"/>
  <c r="N93" i="9"/>
  <c r="N95" i="9"/>
  <c r="N249" i="9"/>
  <c r="N175" i="9"/>
  <c r="N112" i="9"/>
  <c r="N255" i="9"/>
  <c r="N24" i="9"/>
  <c r="N263" i="9"/>
  <c r="N40" i="9"/>
  <c r="N57" i="9"/>
  <c r="N290" i="9"/>
  <c r="N291" i="9"/>
  <c r="N292" i="9"/>
  <c r="N238" i="9"/>
  <c r="N22" i="9"/>
  <c r="N274" i="9"/>
  <c r="N196" i="9"/>
  <c r="N110" i="9"/>
  <c r="N315" i="9"/>
  <c r="N243" i="9"/>
  <c r="N131" i="9"/>
  <c r="N179" i="9"/>
  <c r="N88" i="9"/>
  <c r="N89" i="9"/>
  <c r="N301" i="9"/>
  <c r="N78" i="9"/>
  <c r="N79" i="9"/>
  <c r="N149" i="9"/>
  <c r="N161" i="9"/>
  <c r="N162" i="9"/>
  <c r="N293" i="9"/>
  <c r="N247" i="9"/>
  <c r="N90" i="9"/>
  <c r="N156" i="9"/>
  <c r="N297" i="9"/>
  <c r="N8" i="9"/>
  <c r="N282" i="9"/>
  <c r="N15" i="9"/>
  <c r="N215" i="9"/>
  <c r="N278" i="9"/>
  <c r="N327" i="9"/>
  <c r="N70" i="9"/>
  <c r="N213" i="9"/>
  <c r="N214" i="9"/>
  <c r="N157" i="9"/>
  <c r="N313" i="9"/>
  <c r="N64" i="9"/>
  <c r="N253" i="9"/>
  <c r="N336" i="9"/>
  <c r="N11" i="9"/>
  <c r="N14" i="9"/>
  <c r="N140" i="9"/>
  <c r="N276" i="9"/>
  <c r="N326" i="9"/>
  <c r="N216" i="9"/>
  <c r="N277" i="9"/>
  <c r="N104" i="9"/>
  <c r="N287" i="9"/>
  <c r="N288" i="9"/>
  <c r="N289" i="9"/>
  <c r="N85" i="9"/>
  <c r="N26" i="9"/>
  <c r="N46" i="9"/>
  <c r="N308" i="9"/>
  <c r="N309" i="9"/>
  <c r="N310" i="9"/>
  <c r="N32" i="9"/>
  <c r="N41" i="9"/>
  <c r="N82" i="9"/>
  <c r="N7" i="9"/>
  <c r="N59" i="9"/>
  <c r="N302" i="9"/>
  <c r="N123" i="9"/>
  <c r="N124" i="9"/>
  <c r="N125" i="9"/>
  <c r="N323" i="9"/>
  <c r="N316" i="9"/>
  <c r="N67" i="9"/>
  <c r="N237" i="9"/>
  <c r="N228" i="9"/>
  <c r="N100" i="9"/>
  <c r="N206" i="9"/>
  <c r="N103" i="9"/>
  <c r="N248" i="9"/>
  <c r="N143" i="9"/>
  <c r="N144" i="9"/>
  <c r="N145" i="9"/>
  <c r="N114" i="9"/>
  <c r="N331" i="9"/>
  <c r="N36" i="9"/>
  <c r="N37" i="9"/>
  <c r="N38" i="9"/>
  <c r="N6" i="9"/>
  <c r="N307" i="9"/>
  <c r="N171" i="9"/>
  <c r="N340" i="9"/>
  <c r="N210" i="9"/>
  <c r="N58" i="9"/>
  <c r="N120" i="9"/>
  <c r="N68" i="9"/>
  <c r="N60" i="9"/>
  <c r="N133" i="9"/>
  <c r="N108" i="9"/>
  <c r="N20" i="9"/>
  <c r="N146" i="9"/>
  <c r="N129" i="9"/>
  <c r="N202" i="9"/>
  <c r="N273" i="9"/>
  <c r="N47" i="9"/>
  <c r="N25" i="9"/>
  <c r="N12" i="9"/>
  <c r="N33" i="9"/>
  <c r="N34" i="9"/>
  <c r="N35" i="9"/>
  <c r="N166" i="9"/>
  <c r="N261" i="9"/>
  <c r="N158" i="9"/>
  <c r="N324" i="9"/>
  <c r="N81" i="9"/>
  <c r="N142" i="9"/>
  <c r="N259" i="9"/>
  <c r="N13" i="9"/>
  <c r="N182" i="9"/>
  <c r="N195" i="9"/>
  <c r="N63" i="9"/>
  <c r="N299" i="9"/>
  <c r="N300" i="9"/>
  <c r="N165" i="9"/>
  <c r="N52" i="9"/>
  <c r="N234" i="9"/>
  <c r="N235" i="9"/>
  <c r="N236" i="9"/>
  <c r="N176" i="9"/>
  <c r="N177" i="9"/>
  <c r="N225" i="9"/>
  <c r="N61" i="9"/>
  <c r="N181" i="9"/>
  <c r="N43" i="9"/>
  <c r="N44" i="9"/>
  <c r="N45" i="9"/>
  <c r="C6" i="20" l="1"/>
  <c r="D6" i="20" s="1"/>
  <c r="C7" i="20"/>
  <c r="D7" i="20" s="1"/>
  <c r="C4" i="20"/>
  <c r="D4" i="20" s="1"/>
  <c r="C5" i="20"/>
  <c r="D5" i="20" s="1"/>
  <c r="J16" i="18"/>
  <c r="K16" i="18" s="1"/>
  <c r="K18" i="18"/>
  <c r="K17" i="18"/>
  <c r="K19" i="1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35B5B4-9F49-4BCF-B763-465B27CEE394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  <connection id="2" xr16:uid="{83C25B88-72D2-4AAD-9CCF-F2D1451F43F0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  <connection id="3" xr16:uid="{BA5DFEF6-C197-4150-A447-52455E04BA63}" keepAlive="1" name="Query - Table5 (2)" description="Connection to the 'Table5 (2)' query in the workbook." type="5" refreshedVersion="8" background="1" saveData="1">
    <dbPr connection="Provider=Microsoft.Mashup.OleDb.1;Data Source=$Workbook$;Location=&quot;Table5 (2)&quot;;Extended Properties=&quot;&quot;" command="SELECT * FROM [Table5 (2)]"/>
  </connection>
</connections>
</file>

<file path=xl/sharedStrings.xml><?xml version="1.0" encoding="utf-8"?>
<sst xmlns="http://schemas.openxmlformats.org/spreadsheetml/2006/main" count="5192" uniqueCount="694">
  <si>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</si>
  <si>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</si>
  <si>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</si>
  <si>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</si>
  <si>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</si>
  <si>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</si>
  <si>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</si>
  <si>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</si>
  <si>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</si>
  <si>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</si>
  <si>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</si>
  <si>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</si>
  <si>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</si>
  <si>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</si>
  <si>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</si>
  <si>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</si>
  <si>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</si>
  <si>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</si>
  <si>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#FutureOfDriving,#AnytimeIsTeslaTime</t>
  </si>
  <si>
    <t>CybertruckLaunch</t>
  </si>
  <si>
    <t>P002</t>
  </si>
  <si>
    <t>2025-04-03</t>
  </si>
  <si>
    <t>Text</t>
  </si>
  <si>
    <t>Check out our latest text on twitter!</t>
  </si>
  <si>
    <t>#TeslaCoInnovation,#BetterWithTesla</t>
  </si>
  <si>
    <t>ModelYCampaign</t>
  </si>
  <si>
    <t>P003</t>
  </si>
  <si>
    <t>YouTube</t>
  </si>
  <si>
    <t>2025-05-12</t>
  </si>
  <si>
    <t>Check out our latest reel on youtube!</t>
  </si>
  <si>
    <t>#TeslaCoInnovation</t>
  </si>
  <si>
    <t>FSDUpdate</t>
  </si>
  <si>
    <t>P004</t>
  </si>
  <si>
    <t>Instagram</t>
  </si>
  <si>
    <t>2024-08-12</t>
  </si>
  <si>
    <t>Story</t>
  </si>
  <si>
    <t>Check out our latest story on instagram!</t>
  </si>
  <si>
    <t>#EVRevolution</t>
  </si>
  <si>
    <t>SustainabilityDrive</t>
  </si>
  <si>
    <t>P005</t>
  </si>
  <si>
    <t>2024-06-26</t>
  </si>
  <si>
    <t>#EVRevolution,#TeslaCoInnovation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</si>
  <si>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</si>
  <si>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</si>
  <si>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</si>
  <si>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</si>
  <si>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</si>
  <si>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</si>
  <si>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</si>
  <si>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</si>
  <si>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</si>
  <si>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</si>
  <si>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</si>
  <si>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</si>
  <si>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</si>
  <si>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</si>
  <si>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</si>
  <si>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</si>
  <si>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</si>
  <si>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</si>
  <si>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</si>
  <si>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</si>
  <si>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#FutureOfDriving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</si>
  <si>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</si>
  <si>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</si>
  <si>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</si>
  <si>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</si>
  <si>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</si>
  <si>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</si>
  <si>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</si>
  <si>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</si>
  <si>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</si>
  <si>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</si>
  <si>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</si>
  <si>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</si>
  <si>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</si>
  <si>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</si>
  <si>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</si>
  <si>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</si>
  <si>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</si>
  <si>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</si>
  <si>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</si>
  <si>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</si>
  <si>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</si>
  <si>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</si>
  <si>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</si>
  <si>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</si>
  <si>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</si>
  <si>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</si>
  <si>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</si>
  <si>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</si>
  <si>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</si>
  <si>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</si>
  <si>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</si>
  <si>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</si>
  <si>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#TeslaCoInnovation,#AnytimeIsTeslaTime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</si>
  <si>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</si>
  <si>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</si>
  <si>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</si>
  <si>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</si>
  <si>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</si>
  <si>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</si>
  <si>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</si>
  <si>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</si>
  <si>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</si>
  <si>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</si>
  <si>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</si>
  <si>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</si>
  <si>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</si>
  <si>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</si>
  <si>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</si>
  <si>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</si>
  <si>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</si>
  <si>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</si>
  <si>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</si>
  <si>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</si>
  <si>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</si>
  <si>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</si>
  <si>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</si>
  <si>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</si>
  <si>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</si>
  <si>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</si>
  <si>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</si>
  <si>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</si>
  <si>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</si>
  <si>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</si>
  <si>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</si>
  <si>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</si>
  <si>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</si>
  <si>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</si>
  <si>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</si>
  <si>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</si>
  <si>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</si>
  <si>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</si>
  <si>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</si>
  <si>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</si>
  <si>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</si>
  <si>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</si>
  <si>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</si>
  <si>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</si>
  <si>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</si>
  <si>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</si>
  <si>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</si>
  <si>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</si>
  <si>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</si>
  <si>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</si>
  <si>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</si>
  <si>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</si>
  <si>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</si>
  <si>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</si>
  <si>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</si>
  <si>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</si>
  <si>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</si>
  <si>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</si>
  <si>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</si>
  <si>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</si>
  <si>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</si>
  <si>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</si>
  <si>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</si>
  <si>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</si>
  <si>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#EVRevolution,#BetterWithTesla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</si>
  <si>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</si>
  <si>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</si>
  <si>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</si>
  <si>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</si>
  <si>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</si>
  <si>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</si>
  <si>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</si>
  <si>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</si>
  <si>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</si>
  <si>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</si>
  <si>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</si>
  <si>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</si>
  <si>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</si>
  <si>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</si>
  <si>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#EVRevolution,#TeslaCoInnovation,#AnytimeIsTeslaTime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</si>
  <si>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</si>
  <si>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</si>
  <si>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</si>
  <si>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</si>
  <si>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</si>
  <si>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</si>
  <si>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</si>
  <si>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</si>
  <si>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</si>
  <si>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</si>
  <si>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</si>
  <si>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</si>
  <si>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</si>
  <si>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</si>
  <si>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</si>
  <si>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</si>
  <si>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</si>
  <si>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</si>
  <si>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</si>
  <si>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</si>
  <si>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</si>
  <si>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</si>
  <si>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</si>
  <si>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</si>
  <si>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</si>
  <si>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</si>
  <si>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</si>
  <si>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</si>
  <si>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</si>
  <si>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</si>
  <si>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</si>
  <si>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</si>
  <si>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</si>
  <si>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</si>
  <si>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</si>
  <si>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</si>
  <si>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</si>
  <si>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</si>
  <si>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</si>
  <si>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</si>
  <si>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#FutureOfDriving,#TeslaCoInnovation,#AnytimeIsTeslaTime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</si>
  <si>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</si>
  <si>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</si>
  <si>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</si>
  <si>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</si>
  <si>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</si>
  <si>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</si>
  <si>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</si>
  <si>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</si>
  <si>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</si>
  <si>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</si>
  <si>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</si>
  <si>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</si>
  <si>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</si>
  <si>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</si>
  <si>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</si>
  <si>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</si>
  <si>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</si>
  <si>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</si>
  <si>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</si>
  <si>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</si>
  <si>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</si>
  <si>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</si>
  <si>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</si>
  <si>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</si>
  <si>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</si>
  <si>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</si>
  <si>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</si>
  <si>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</si>
  <si>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</si>
  <si>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</si>
  <si>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</si>
  <si>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</si>
  <si>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</si>
  <si>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</si>
  <si>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</si>
  <si>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</si>
  <si>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</si>
  <si>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</si>
  <si>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</si>
  <si>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</si>
  <si>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</si>
  <si>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</si>
  <si>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</si>
  <si>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</si>
  <si>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</si>
  <si>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</si>
  <si>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</si>
  <si>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</si>
  <si>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</si>
  <si>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</si>
  <si>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</si>
  <si>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</si>
  <si>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</si>
  <si>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</si>
  <si>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</si>
  <si>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</si>
  <si>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</si>
  <si>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</si>
  <si>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</si>
  <si>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</si>
  <si>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</si>
  <si>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</si>
  <si>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</si>
  <si>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</si>
  <si>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</si>
  <si>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</si>
  <si>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</si>
  <si>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</si>
  <si>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</si>
  <si>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</si>
  <si>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</si>
  <si>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</si>
  <si>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</si>
  <si>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</si>
  <si>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</si>
  <si>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</si>
  <si>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</si>
  <si>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</si>
  <si>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</si>
  <si>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</si>
  <si>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</si>
  <si>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</si>
  <si>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</si>
  <si>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</si>
  <si>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</si>
  <si>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</si>
  <si>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</si>
  <si>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</si>
  <si>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</si>
  <si>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</si>
  <si>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</si>
  <si>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</si>
  <si>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</si>
  <si>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</si>
  <si>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</si>
  <si>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</si>
  <si>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</si>
  <si>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</si>
  <si>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</si>
  <si>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#EVRevolution,#SmoothLikeNitroTesla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</si>
  <si>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</si>
  <si>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</si>
  <si>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</si>
  <si>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</si>
  <si>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</si>
  <si>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</si>
  <si>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</si>
  <si>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</si>
  <si>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#EVRevolution,#AnytimeIsTeslaTime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</si>
  <si>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</si>
  <si>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</si>
  <si>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</si>
  <si>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</si>
  <si>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</si>
  <si>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</si>
  <si>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</si>
  <si>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</si>
  <si>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</si>
  <si>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</si>
  <si>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</si>
  <si>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</si>
  <si>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</si>
  <si>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</si>
  <si>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</si>
  <si>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</si>
  <si>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</si>
  <si>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</si>
  <si>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</si>
  <si>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</si>
  <si>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</si>
  <si>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</si>
  <si>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</si>
  <si>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</si>
  <si>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</si>
  <si>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</si>
  <si>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</si>
  <si>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</si>
  <si>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</si>
  <si>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</si>
  <si>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</si>
  <si>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</si>
  <si>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</si>
  <si>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</si>
  <si>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</si>
  <si>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</si>
  <si>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</si>
  <si>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</si>
  <si>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</si>
  <si>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</si>
  <si>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</si>
  <si>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</si>
  <si>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</si>
  <si>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</si>
  <si>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</si>
  <si>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</si>
  <si>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</si>
  <si>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</si>
  <si>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</si>
  <si>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</si>
  <si>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</si>
  <si>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</si>
  <si>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</si>
  <si>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</si>
  <si>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</si>
  <si>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</si>
  <si>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</si>
  <si>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</si>
  <si>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</si>
  <si>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</si>
  <si>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</si>
  <si>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</si>
  <si>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</si>
  <si>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</si>
  <si>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</si>
  <si>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</si>
  <si>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</si>
  <si>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</si>
  <si>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</si>
  <si>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</si>
  <si>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</si>
  <si>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</si>
  <si>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</si>
  <si>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</si>
  <si>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</si>
  <si>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</si>
  <si>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</si>
  <si>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</si>
  <si>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</si>
  <si>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</si>
  <si>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</si>
  <si>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</si>
  <si>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</si>
  <si>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</si>
  <si>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</si>
  <si>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</si>
  <si>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</si>
  <si>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</si>
  <si>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</si>
  <si>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</si>
  <si>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</si>
  <si>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</si>
  <si>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</si>
  <si>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</si>
  <si>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</si>
  <si>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#TeslaCoInnovation,#SmoothLikeNitroTesla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</si>
  <si>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</si>
  <si>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</si>
  <si>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</si>
  <si>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</si>
  <si>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</si>
  <si>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</si>
  <si>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</si>
  <si>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</si>
  <si>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</si>
  <si>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</si>
  <si>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</si>
  <si>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</si>
  <si>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</si>
  <si>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</si>
  <si>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</si>
  <si>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</si>
  <si>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</si>
  <si>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</si>
  <si>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</si>
  <si>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</si>
  <si>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</si>
  <si>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</si>
  <si>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</si>
  <si>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#FutureOfDriving,#SmoothLikeNitroTesla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</si>
  <si>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</si>
  <si>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</si>
  <si>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</si>
  <si>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</si>
  <si>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</si>
  <si>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</si>
  <si>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</si>
  <si>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</si>
  <si>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</si>
  <si>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</si>
  <si>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</si>
  <si>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</si>
  <si>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</si>
  <si>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</si>
  <si>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</si>
  <si>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</si>
  <si>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</si>
  <si>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</si>
  <si>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</si>
  <si>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</si>
  <si>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#FutureOfDriving,#AnytimeIsTeslaTime,#EVRevolution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</si>
  <si>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</si>
  <si>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</si>
  <si>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</si>
  <si>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</si>
  <si>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</si>
  <si>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</si>
  <si>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</si>
  <si>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</si>
  <si>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</si>
  <si>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</si>
  <si>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</si>
  <si>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</si>
  <si>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</si>
  <si>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</si>
  <si>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</si>
  <si>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</si>
  <si>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</si>
  <si>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</si>
  <si>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#FutureOfDriving,#EVRevolution,#BetterWithTesla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</si>
  <si>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</si>
  <si>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</si>
  <si>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</si>
  <si>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</si>
  <si>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</si>
  <si>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</si>
  <si>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</si>
  <si>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</si>
  <si>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</si>
  <si>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</si>
  <si>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</si>
  <si>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</si>
  <si>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</si>
  <si>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#EVRevolution,#EVRevolution,#BetterWithTesla</t>
  </si>
  <si>
    <t>P258</t>
  </si>
  <si>
    <t>2024-08-05</t>
  </si>
  <si>
    <t>P259</t>
  </si>
  <si>
    <t>P260</t>
  </si>
  <si>
    <t>2025-02-12</t>
  </si>
  <si>
    <t>#TeslaCoInnovation,#EVRevolution,#BetterWithTesla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</si>
  <si>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</si>
  <si>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</si>
  <si>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</si>
  <si>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</si>
  <si>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</si>
  <si>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</si>
  <si>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</si>
  <si>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</si>
  <si>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</si>
  <si>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</si>
  <si>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</si>
  <si>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</si>
  <si>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</si>
  <si>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</si>
  <si>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</si>
  <si>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</si>
  <si>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</si>
  <si>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</si>
  <si>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</si>
  <si>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</si>
  <si>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</si>
  <si>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</si>
  <si>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</si>
  <si>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</si>
  <si>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</si>
  <si>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</si>
  <si>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</si>
  <si>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</si>
  <si>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</si>
  <si>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</si>
  <si>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</si>
  <si>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</si>
  <si>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</si>
  <si>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</si>
  <si>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</si>
  <si>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</si>
  <si>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</si>
  <si>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</si>
  <si>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</si>
  <si>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</si>
  <si>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</si>
  <si>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</si>
  <si>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</si>
  <si>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</si>
  <si>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</si>
  <si>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</si>
  <si>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</si>
  <si>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</si>
  <si>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</si>
  <si>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</si>
  <si>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</si>
  <si>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</si>
  <si>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</si>
  <si>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</si>
  <si>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</si>
  <si>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</si>
  <si>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</si>
  <si>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</si>
  <si>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</si>
  <si>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</si>
  <si>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</si>
  <si>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</si>
  <si>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</si>
  <si>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</si>
  <si>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</si>
  <si>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</si>
  <si>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</si>
  <si>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</si>
  <si>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</si>
  <si>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</si>
  <si>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</si>
  <si>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</si>
  <si>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</si>
  <si>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</si>
  <si>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</si>
  <si>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</si>
  <si>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</si>
  <si>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</si>
  <si>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</si>
  <si>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</si>
  <si>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</si>
  <si>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</si>
  <si>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</si>
  <si>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</si>
  <si>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</si>
  <si>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</si>
  <si>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</si>
  <si>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</si>
  <si>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</si>
  <si>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</si>
  <si>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</si>
  <si>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</si>
  <si>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Product Awareness</t>
  </si>
  <si>
    <t>Instagram,Facebook</t>
  </si>
  <si>
    <t>2024-10-01</t>
  </si>
  <si>
    <t>Customer Engagement</t>
  </si>
  <si>
    <t>Instagram,YouTube</t>
  </si>
  <si>
    <t>#AnytimeIsTeslaTime,</t>
  </si>
  <si>
    <t>2024-12-25</t>
  </si>
  <si>
    <t>Vehicle Launch</t>
  </si>
  <si>
    <t>Facebook,Twitter</t>
  </si>
  <si>
    <t>#SmoothLikeNitroTesla</t>
  </si>
  <si>
    <t>2025-03-01</t>
  </si>
  <si>
    <t>Community Growth</t>
  </si>
  <si>
    <t>Instagram,Twitter</t>
  </si>
  <si>
    <t>#BetterWithTesla,#FutureOfDriving</t>
  </si>
  <si>
    <t>#AnytimeIsTeslaTime</t>
  </si>
  <si>
    <t>#BetterWithTesla</t>
  </si>
  <si>
    <t>Engagement Rate</t>
  </si>
  <si>
    <t>Row Labels</t>
  </si>
  <si>
    <t>Grand Total</t>
  </si>
  <si>
    <t>Sum of Likes</t>
  </si>
  <si>
    <t>Sum of Shares</t>
  </si>
  <si>
    <t>Sum of Comments</t>
  </si>
  <si>
    <t>Not available</t>
  </si>
  <si>
    <t>Average of Engagement Rate</t>
  </si>
  <si>
    <t>Engagement</t>
  </si>
  <si>
    <t>Top 10 tesla posts with highest engagement</t>
  </si>
  <si>
    <t>Sum of Clicks</t>
  </si>
  <si>
    <t>Average of Clicks</t>
  </si>
  <si>
    <t>Average clicks per post</t>
  </si>
  <si>
    <t>Total Likes, Shares, Comments by Content Type &amp; Platform</t>
  </si>
  <si>
    <t>Sum of Engagement</t>
  </si>
  <si>
    <t>Average engagement rate per platform</t>
  </si>
  <si>
    <t>Sum of Ad_Spend</t>
  </si>
  <si>
    <t>Average of Engagement</t>
  </si>
  <si>
    <t>Identify most frequently used Tesla hashtags.</t>
  </si>
  <si>
    <t>#TeslaCoInnovation is the most frequently used hashtags.</t>
  </si>
  <si>
    <t>Compare average performance of posts containing each hashtag.</t>
  </si>
  <si>
    <t>Sum of Impressions</t>
  </si>
  <si>
    <t>Average of Impressions</t>
  </si>
  <si>
    <t>Average of Likes</t>
  </si>
  <si>
    <t>Follower_Gain</t>
  </si>
  <si>
    <t>Net_FollowerGrowth_Rate</t>
  </si>
  <si>
    <t>follower growth rates across platforms.</t>
  </si>
  <si>
    <t>Average of Net_FollowerGrowth_Rate</t>
  </si>
  <si>
    <t>Twitter has highest net follower growth rate with 0.93%</t>
  </si>
  <si>
    <t>Average of Shares</t>
  </si>
  <si>
    <t>Average of Comments</t>
  </si>
  <si>
    <t>Count of Hashtags Used</t>
  </si>
  <si>
    <t>Compaign_days</t>
  </si>
  <si>
    <t>pre_compaign date</t>
  </si>
  <si>
    <t>Engagement During</t>
  </si>
  <si>
    <t>Engagement Before</t>
  </si>
  <si>
    <t>Daily_Engagement During</t>
  </si>
  <si>
    <t>Daily_Engagement Before</t>
  </si>
  <si>
    <t>Engagement Uplift</t>
  </si>
  <si>
    <t>campaign had the highest ROI (engagement vs. spend)</t>
  </si>
  <si>
    <t>Total Engagement</t>
  </si>
  <si>
    <t>Engagement per rupee</t>
  </si>
  <si>
    <t>Highest ROI : "SustainabilityDrive"</t>
  </si>
  <si>
    <t>This compaign delivers the highest ROI with 1.549 engagement per rupee.</t>
  </si>
  <si>
    <t>Visualize weekly follower growth per platform (line chart).</t>
  </si>
  <si>
    <t>Sum of Follower_Gain</t>
  </si>
  <si>
    <t>Column Labels</t>
  </si>
  <si>
    <t>Identify the peak week of follower gain.</t>
  </si>
  <si>
    <t>Highlight top-performing hashtags</t>
  </si>
  <si>
    <t>platform with highest engagement</t>
  </si>
  <si>
    <t>Instagram has highest engagement rate with 122.38</t>
  </si>
  <si>
    <t>Advise: Should Tesla focus on Twitter + YouTube (product announcements + demos) or maintain a multi-platform strategy?</t>
  </si>
  <si>
    <t>Facebook platform gets maximum engagement for carousel and reels.</t>
  </si>
  <si>
    <t>Instagram is better for stories and images</t>
  </si>
  <si>
    <t>Twitter has good engagement for texts.</t>
  </si>
  <si>
    <t xml:space="preserve">Each platform is performing the best in specific content types. So it is better to focus on multi platform strategy </t>
  </si>
  <si>
    <t>Youtube platform has highest engagement among all the four platforms.</t>
  </si>
  <si>
    <t>Recommend content type priorities per platform (e.g., videos on YouTube, car images on Instagram).</t>
  </si>
  <si>
    <t>After observing the number of likes ,shares, comments for each platform in all content types</t>
  </si>
  <si>
    <t>→Facebook platform : corousels content type.</t>
  </si>
  <si>
    <t>→Instagram platform: Images and reels</t>
  </si>
  <si>
    <t>→Twitter : Texts</t>
  </si>
  <si>
    <t>→Youtube: Stories and videos.</t>
  </si>
  <si>
    <t>Compare content performance:</t>
  </si>
  <si>
    <t>Total &amp; Average Impressions, Likes, Clicks per Campaign</t>
  </si>
  <si>
    <t>Engagement uplift during vs. before campaigns (e.g., Cybertruck launch spike).</t>
  </si>
  <si>
    <t>campaign drove the strongest follower growth</t>
  </si>
  <si>
    <t>Follower Gain</t>
  </si>
  <si>
    <t xml:space="preserve"> SustainabilityDrive campaign drove the strongest follower growth with 16078 followers gain</t>
  </si>
  <si>
    <t xml:space="preserve">Correlation between follower growth and ad_spend is equal to </t>
  </si>
  <si>
    <t>For every rupee we are spending, this campaign gives highest engagement of all the four campaigns.</t>
  </si>
  <si>
    <t>Week_Start_date</t>
  </si>
  <si>
    <t>2024-12-30 is the week having highest follower gain</t>
  </si>
  <si>
    <t>Use moving averages to smooth growth trends.</t>
  </si>
  <si>
    <t>Correlate ad spend vs. follower growth using scatter plots.</t>
  </si>
  <si>
    <t>Since it is close to zero there is weak relationship between follower growth and ad_spend</t>
  </si>
  <si>
    <t>CybertruckLaunch campaign has highest engagement uplift with 53.94% which indicates Product Awareness objective reaches the more audience.</t>
  </si>
  <si>
    <t>https://drive.google.com/file/d/1EcC2lF0ePVG-zr_jWFbtBTPWYLd1GdoJ/view?usp=sharing</t>
  </si>
  <si>
    <t>AnytimeTeslaTime got highest clicks</t>
  </si>
  <si>
    <t>TeslaColnnovation and EVRevolution are the top performing hashtags.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</si>
</sst>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8"/>
      <name val="Calibri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0"/>
      <name val="Calibri"/>
      <scheme val="minor"/>
    </font>
    <font>
      <sz val="8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theme="4" tint="0.79998168889431442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04">
    <xf numFmtId="0" fontId="0" fillId="0" borderId="0" xfId="0"/>
    <xf numFmtId="0" fontId="10" fillId="0" borderId="1" xfId="0" applyFont="1" applyBorder="1" applyAlignment="1">
      <alignment horizontal="center" vertical="top"/>
    </xf>
    <xf numFmtId="0" fontId="11" fillId="0" borderId="0" xfId="0" applyFont="1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10" fillId="0" borderId="1" xfId="0" applyNumberFormat="1" applyFont="1" applyBorder="1" applyAlignment="1">
      <alignment horizontal="center" vertical="top"/>
    </xf>
    <xf numFmtId="1" fontId="11" fillId="0" borderId="0" xfId="0" applyNumberFormat="1" applyFont="1"/>
    <xf numFmtId="1" fontId="0" fillId="0" borderId="0" xfId="0" applyNumberFormat="1"/>
    <xf numFmtId="0" fontId="0" fillId="2" borderId="0" xfId="0" applyFill="1"/>
    <xf numFmtId="0" fontId="9" fillId="3" borderId="2" xfId="0" applyFont="1" applyFill="1" applyBorder="1"/>
    <xf numFmtId="0" fontId="9" fillId="2" borderId="2" xfId="0" applyFont="1" applyFill="1" applyBorder="1"/>
    <xf numFmtId="0" fontId="9" fillId="3" borderId="2" xfId="0" applyFont="1" applyFill="1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2" fillId="2" borderId="2" xfId="0" applyFont="1" applyFill="1" applyBorder="1"/>
    <xf numFmtId="0" fontId="12" fillId="2" borderId="2" xfId="0" applyFont="1" applyFill="1" applyBorder="1" applyAlignment="1">
      <alignment horizontal="center"/>
    </xf>
    <xf numFmtId="2" fontId="12" fillId="2" borderId="2" xfId="0" applyNumberFormat="1" applyFont="1" applyFill="1" applyBorder="1" applyAlignment="1">
      <alignment horizontal="center"/>
    </xf>
    <xf numFmtId="0" fontId="12" fillId="4" borderId="3" xfId="0" applyFont="1" applyFill="1" applyBorder="1"/>
    <xf numFmtId="164" fontId="0" fillId="0" borderId="0" xfId="0" applyNumberFormat="1"/>
    <xf numFmtId="10" fontId="0" fillId="0" borderId="0" xfId="0" applyNumberFormat="1"/>
    <xf numFmtId="0" fontId="14" fillId="0" borderId="0" xfId="0" applyFont="1" applyAlignment="1">
      <alignment horizontal="left"/>
    </xf>
    <xf numFmtId="10" fontId="0" fillId="2" borderId="0" xfId="0" applyNumberFormat="1" applyFill="1"/>
    <xf numFmtId="14" fontId="11" fillId="0" borderId="0" xfId="0" applyNumberFormat="1" applyFont="1" applyAlignment="1">
      <alignment horizontal="right"/>
    </xf>
    <xf numFmtId="0" fontId="11" fillId="0" borderId="2" xfId="0" applyFont="1" applyBorder="1"/>
    <xf numFmtId="14" fontId="11" fillId="0" borderId="2" xfId="0" applyNumberFormat="1" applyFont="1" applyBorder="1" applyAlignment="1">
      <alignment horizontal="right"/>
    </xf>
    <xf numFmtId="0" fontId="0" fillId="0" borderId="2" xfId="0" applyBorder="1"/>
    <xf numFmtId="14" fontId="0" fillId="0" borderId="2" xfId="0" applyNumberFormat="1" applyBorder="1"/>
    <xf numFmtId="0" fontId="11" fillId="0" borderId="4" xfId="0" applyFont="1" applyBorder="1"/>
    <xf numFmtId="10" fontId="0" fillId="0" borderId="5" xfId="0" applyNumberFormat="1" applyBorder="1"/>
    <xf numFmtId="0" fontId="10" fillId="0" borderId="6" xfId="0" applyFont="1" applyBorder="1" applyAlignment="1">
      <alignment horizontal="center" vertical="top"/>
    </xf>
    <xf numFmtId="0" fontId="10" fillId="0" borderId="7" xfId="0" applyFont="1" applyBorder="1" applyAlignment="1">
      <alignment horizontal="center" vertical="top"/>
    </xf>
    <xf numFmtId="0" fontId="12" fillId="0" borderId="7" xfId="0" applyFont="1" applyBorder="1" applyAlignment="1">
      <alignment horizontal="center" vertical="top"/>
    </xf>
    <xf numFmtId="0" fontId="12" fillId="0" borderId="8" xfId="0" applyFont="1" applyBorder="1" applyAlignment="1">
      <alignment horizontal="center" vertical="top"/>
    </xf>
    <xf numFmtId="0" fontId="11" fillId="0" borderId="9" xfId="0" applyFont="1" applyBorder="1"/>
    <xf numFmtId="14" fontId="11" fillId="0" borderId="10" xfId="0" applyNumberFormat="1" applyFont="1" applyBorder="1" applyAlignment="1">
      <alignment horizontal="right"/>
    </xf>
    <xf numFmtId="0" fontId="0" fillId="0" borderId="10" xfId="0" applyBorder="1"/>
    <xf numFmtId="14" fontId="0" fillId="0" borderId="10" xfId="0" applyNumberFormat="1" applyBorder="1"/>
    <xf numFmtId="10" fontId="0" fillId="0" borderId="11" xfId="0" applyNumberFormat="1" applyBorder="1"/>
    <xf numFmtId="0" fontId="0" fillId="0" borderId="8" xfId="0" applyBorder="1"/>
    <xf numFmtId="1" fontId="0" fillId="0" borderId="2" xfId="0" applyNumberFormat="1" applyBorder="1"/>
    <xf numFmtId="0" fontId="11" fillId="0" borderId="10" xfId="0" applyFont="1" applyBorder="1"/>
    <xf numFmtId="0" fontId="15" fillId="0" borderId="0" xfId="0" applyFont="1"/>
    <xf numFmtId="0" fontId="16" fillId="0" borderId="0" xfId="0" applyFont="1"/>
    <xf numFmtId="0" fontId="7" fillId="0" borderId="0" xfId="0" applyFont="1"/>
    <xf numFmtId="165" fontId="0" fillId="0" borderId="5" xfId="0" applyNumberFormat="1" applyBorder="1"/>
    <xf numFmtId="165" fontId="0" fillId="0" borderId="11" xfId="0" applyNumberFormat="1" applyBorder="1"/>
    <xf numFmtId="0" fontId="12" fillId="7" borderId="0" xfId="0" applyFont="1" applyFill="1"/>
    <xf numFmtId="1" fontId="10" fillId="0" borderId="12" xfId="0" applyNumberFormat="1" applyFont="1" applyBorder="1" applyAlignment="1">
      <alignment horizontal="center" vertical="top"/>
    </xf>
    <xf numFmtId="10" fontId="12" fillId="6" borderId="2" xfId="0" applyNumberFormat="1" applyFont="1" applyFill="1" applyBorder="1" applyAlignment="1">
      <alignment horizontal="center" vertical="top"/>
    </xf>
    <xf numFmtId="10" fontId="0" fillId="6" borderId="2" xfId="0" applyNumberFormat="1" applyFill="1" applyBorder="1"/>
    <xf numFmtId="0" fontId="15" fillId="8" borderId="0" xfId="0" applyFont="1" applyFill="1"/>
    <xf numFmtId="0" fontId="6" fillId="0" borderId="0" xfId="0" applyFont="1"/>
    <xf numFmtId="0" fontId="0" fillId="0" borderId="0" xfId="0" applyAlignment="1">
      <alignment horizontal="right"/>
    </xf>
    <xf numFmtId="0" fontId="0" fillId="0" borderId="2" xfId="0" applyBorder="1" applyAlignment="1">
      <alignment horizontal="left"/>
    </xf>
    <xf numFmtId="0" fontId="17" fillId="0" borderId="0" xfId="0" applyFont="1"/>
    <xf numFmtId="0" fontId="6" fillId="0" borderId="0" xfId="0" applyFont="1" applyAlignment="1">
      <alignment vertical="center"/>
    </xf>
    <xf numFmtId="0" fontId="0" fillId="0" borderId="8" xfId="0" applyBorder="1" applyAlignment="1">
      <alignment horizontal="left"/>
    </xf>
    <xf numFmtId="0" fontId="5" fillId="0" borderId="0" xfId="0" applyFont="1"/>
    <xf numFmtId="0" fontId="5" fillId="7" borderId="0" xfId="0" applyFont="1" applyFill="1"/>
    <xf numFmtId="0" fontId="0" fillId="7" borderId="0" xfId="0" applyFill="1"/>
    <xf numFmtId="0" fontId="0" fillId="0" borderId="0" xfId="0" applyAlignment="1">
      <alignment horizontal="center"/>
    </xf>
    <xf numFmtId="0" fontId="18" fillId="9" borderId="0" xfId="0" applyFont="1" applyFill="1" applyAlignment="1">
      <alignment horizontal="center" vertical="top"/>
    </xf>
    <xf numFmtId="14" fontId="10" fillId="0" borderId="1" xfId="0" applyNumberFormat="1" applyFont="1" applyBorder="1" applyAlignment="1">
      <alignment horizontal="center" vertical="top"/>
    </xf>
    <xf numFmtId="14" fontId="11" fillId="0" borderId="0" xfId="0" applyNumberFormat="1" applyFont="1"/>
    <xf numFmtId="1" fontId="10" fillId="6" borderId="5" xfId="0" applyNumberFormat="1" applyFont="1" applyFill="1" applyBorder="1" applyAlignment="1">
      <alignment horizontal="center" vertical="top"/>
    </xf>
    <xf numFmtId="1" fontId="0" fillId="6" borderId="5" xfId="0" applyNumberFormat="1" applyFill="1" applyBorder="1"/>
    <xf numFmtId="1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8" fillId="9" borderId="4" xfId="0" applyFont="1" applyFill="1" applyBorder="1" applyAlignment="1">
      <alignment horizontal="center" vertical="top"/>
    </xf>
    <xf numFmtId="0" fontId="0" fillId="0" borderId="4" xfId="0" applyBorder="1"/>
    <xf numFmtId="0" fontId="20" fillId="0" borderId="0" xfId="0" applyFont="1"/>
    <xf numFmtId="0" fontId="10" fillId="10" borderId="7" xfId="0" applyFont="1" applyFill="1" applyBorder="1"/>
    <xf numFmtId="0" fontId="12" fillId="0" borderId="0" xfId="0" applyFont="1"/>
    <xf numFmtId="0" fontId="4" fillId="0" borderId="0" xfId="0" applyFont="1"/>
    <xf numFmtId="10" fontId="0" fillId="11" borderId="0" xfId="0" applyNumberFormat="1" applyFill="1"/>
    <xf numFmtId="0" fontId="0" fillId="11" borderId="0" xfId="0" applyFill="1"/>
    <xf numFmtId="0" fontId="0" fillId="0" borderId="2" xfId="0" pivotButton="1" applyBorder="1"/>
    <xf numFmtId="14" fontId="0" fillId="0" borderId="2" xfId="0" applyNumberFormat="1" applyBorder="1" applyAlignment="1">
      <alignment horizontal="left"/>
    </xf>
    <xf numFmtId="14" fontId="14" fillId="0" borderId="2" xfId="0" applyNumberFormat="1" applyFont="1" applyBorder="1" applyAlignment="1">
      <alignment horizontal="left"/>
    </xf>
    <xf numFmtId="0" fontId="14" fillId="0" borderId="2" xfId="0" applyFont="1" applyBorder="1"/>
    <xf numFmtId="14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3" fillId="2" borderId="2" xfId="0" applyFont="1" applyFill="1" applyBorder="1"/>
    <xf numFmtId="0" fontId="21" fillId="0" borderId="0" xfId="0" applyFont="1"/>
    <xf numFmtId="0" fontId="2" fillId="0" borderId="0" xfId="0" applyFont="1"/>
    <xf numFmtId="14" fontId="3" fillId="3" borderId="2" xfId="0" applyNumberFormat="1" applyFont="1" applyFill="1" applyBorder="1"/>
    <xf numFmtId="14" fontId="3" fillId="2" borderId="2" xfId="0" applyNumberFormat="1" applyFont="1" applyFill="1" applyBorder="1"/>
    <xf numFmtId="0" fontId="1" fillId="0" borderId="4" xfId="0" applyFont="1" applyBorder="1"/>
    <xf numFmtId="0" fontId="22" fillId="0" borderId="0" xfId="1"/>
    <xf numFmtId="0" fontId="12" fillId="5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15" fillId="7" borderId="0" xfId="0" applyFont="1" applyFill="1" applyAlignment="1">
      <alignment horizontal="center"/>
    </xf>
    <xf numFmtId="0" fontId="0" fillId="0" borderId="0" xfId="0" applyBorder="1"/>
  </cellXfs>
  <cellStyles count="2">
    <cellStyle name="Hyperlink" xfId="1" builtinId="8"/>
    <cellStyle name="Normal" xfId="0" builtinId="0"/>
  </cellStyles>
  <dxfs count="70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numFmt numFmtId="165" formatCode="0.0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numFmt numFmtId="1" formatCode="0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</dxf>
    <dxf>
      <border outline="0">
        <right style="thin">
          <color indexed="64"/>
        </right>
      </border>
    </dxf>
    <dxf>
      <numFmt numFmtId="1" formatCode="0"/>
    </dxf>
    <dxf>
      <numFmt numFmtId="1" formatCode="0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/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/>
    </dxf>
    <dxf>
      <fill>
        <patternFill patternType="solid">
          <fgColor indexed="64"/>
          <bgColor theme="4"/>
        </patternFill>
      </fill>
    </dxf>
    <dxf>
      <numFmt numFmtId="14" formatCode="0.00%"/>
      <fill>
        <patternFill patternType="solid">
          <fgColor indexed="64"/>
          <bgColor theme="4"/>
        </patternFill>
      </fill>
    </dxf>
    <dxf>
      <numFmt numFmtId="0" formatCode="General"/>
    </dxf>
    <dxf>
      <numFmt numFmtId="19" formatCode="dd/mm/yyyy"/>
    </dxf>
    <dxf>
      <numFmt numFmtId="1" formatCode="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6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Engagement vs. Ad Spend</a:t>
            </a:r>
            <a:endParaRPr lang="en-IN" b="1"/>
          </a:p>
        </c:rich>
      </c:tx>
      <c:overlay val="0"/>
      <c:spPr>
        <a:solidFill>
          <a:schemeClr val="accent3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'Task3.3&amp;3.4'!$D$4</c:f>
              <c:strCache>
                <c:ptCount val="1"/>
                <c:pt idx="0">
                  <c:v>Sum of Ad_Spend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'Task3.3&amp;3.4'!$C$5:$C$8</c:f>
              <c:numCache>
                <c:formatCode>0</c:formatCode>
                <c:ptCount val="4"/>
                <c:pt idx="0">
                  <c:v>334541</c:v>
                </c:pt>
                <c:pt idx="1">
                  <c:v>289234</c:v>
                </c:pt>
                <c:pt idx="2">
                  <c:v>300942</c:v>
                </c:pt>
                <c:pt idx="3">
                  <c:v>243633</c:v>
                </c:pt>
              </c:numCache>
            </c:numRef>
          </c:xVal>
          <c:yVal>
            <c:numRef>
              <c:f>'Task3.3&amp;3.4'!$D$5:$D$8</c:f>
              <c:numCache>
                <c:formatCode>0</c:formatCode>
                <c:ptCount val="4"/>
                <c:pt idx="0">
                  <c:v>1379539</c:v>
                </c:pt>
                <c:pt idx="1">
                  <c:v>1164373</c:v>
                </c:pt>
                <c:pt idx="2">
                  <c:v>1060357</c:v>
                </c:pt>
                <c:pt idx="3">
                  <c:v>1228647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D7-40C0-BEB6-B167C8A2F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2472511"/>
        <c:axId val="1842471551"/>
      </c:scatterChart>
      <c:valAx>
        <c:axId val="184247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 of Engagement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471551"/>
        <c:crosses val="autoZero"/>
        <c:crossBetween val="midCat"/>
      </c:valAx>
      <c:valAx>
        <c:axId val="184247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 of Ad</a:t>
                </a:r>
                <a:r>
                  <a:rPr lang="en-IN" baseline="0"/>
                  <a:t>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472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 - Sol.xlsx]Task6.1&amp;6.2!PivotTable2</c:name>
    <c:fmtId val="1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'Task6.1&amp;6.2'!$B$3:$B$4</c:f>
              <c:strCache>
                <c:ptCount val="1"/>
                <c:pt idx="0">
                  <c:v>Facebook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'Task6.1&amp;6.2'!$A$5:$A$55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'Task6.1&amp;6.2'!$B$5:$B$55</c:f>
              <c:numCache>
                <c:formatCode>General</c:formatCode>
                <c:ptCount val="50"/>
                <c:pt idx="0">
                  <c:v>1002</c:v>
                </c:pt>
                <c:pt idx="1">
                  <c:v>1283</c:v>
                </c:pt>
                <c:pt idx="2">
                  <c:v>1382</c:v>
                </c:pt>
                <c:pt idx="3">
                  <c:v>1670</c:v>
                </c:pt>
                <c:pt idx="4">
                  <c:v>64</c:v>
                </c:pt>
                <c:pt idx="5">
                  <c:v>309</c:v>
                </c:pt>
                <c:pt idx="6">
                  <c:v>-164</c:v>
                </c:pt>
                <c:pt idx="7">
                  <c:v>961</c:v>
                </c:pt>
                <c:pt idx="8">
                  <c:v>-318</c:v>
                </c:pt>
                <c:pt idx="9">
                  <c:v>-197</c:v>
                </c:pt>
                <c:pt idx="10">
                  <c:v>1334</c:v>
                </c:pt>
                <c:pt idx="11">
                  <c:v>1058</c:v>
                </c:pt>
                <c:pt idx="12">
                  <c:v>37</c:v>
                </c:pt>
                <c:pt idx="13">
                  <c:v>1045</c:v>
                </c:pt>
                <c:pt idx="14">
                  <c:v>1428</c:v>
                </c:pt>
                <c:pt idx="15">
                  <c:v>98</c:v>
                </c:pt>
                <c:pt idx="16">
                  <c:v>-19</c:v>
                </c:pt>
                <c:pt idx="17">
                  <c:v>-179</c:v>
                </c:pt>
                <c:pt idx="18">
                  <c:v>1662</c:v>
                </c:pt>
                <c:pt idx="19">
                  <c:v>285</c:v>
                </c:pt>
                <c:pt idx="20">
                  <c:v>439</c:v>
                </c:pt>
                <c:pt idx="21">
                  <c:v>386</c:v>
                </c:pt>
                <c:pt idx="22">
                  <c:v>540</c:v>
                </c:pt>
                <c:pt idx="23">
                  <c:v>-106</c:v>
                </c:pt>
                <c:pt idx="24">
                  <c:v>72</c:v>
                </c:pt>
                <c:pt idx="25">
                  <c:v>1332</c:v>
                </c:pt>
                <c:pt idx="26">
                  <c:v>1706</c:v>
                </c:pt>
                <c:pt idx="27">
                  <c:v>1373</c:v>
                </c:pt>
                <c:pt idx="28">
                  <c:v>1377</c:v>
                </c:pt>
                <c:pt idx="29">
                  <c:v>730</c:v>
                </c:pt>
                <c:pt idx="30">
                  <c:v>1776</c:v>
                </c:pt>
                <c:pt idx="31">
                  <c:v>620</c:v>
                </c:pt>
                <c:pt idx="32">
                  <c:v>298</c:v>
                </c:pt>
                <c:pt idx="33">
                  <c:v>427</c:v>
                </c:pt>
                <c:pt idx="34">
                  <c:v>898</c:v>
                </c:pt>
                <c:pt idx="35">
                  <c:v>748</c:v>
                </c:pt>
                <c:pt idx="36">
                  <c:v>912</c:v>
                </c:pt>
                <c:pt idx="37">
                  <c:v>1590</c:v>
                </c:pt>
                <c:pt idx="38">
                  <c:v>1707</c:v>
                </c:pt>
                <c:pt idx="39">
                  <c:v>-119</c:v>
                </c:pt>
                <c:pt idx="40">
                  <c:v>908</c:v>
                </c:pt>
                <c:pt idx="41">
                  <c:v>1116</c:v>
                </c:pt>
                <c:pt idx="42">
                  <c:v>474</c:v>
                </c:pt>
                <c:pt idx="43">
                  <c:v>514</c:v>
                </c:pt>
                <c:pt idx="44">
                  <c:v>1029</c:v>
                </c:pt>
                <c:pt idx="45">
                  <c:v>-175</c:v>
                </c:pt>
                <c:pt idx="46">
                  <c:v>1045</c:v>
                </c:pt>
                <c:pt idx="47">
                  <c:v>453</c:v>
                </c:pt>
                <c:pt idx="48">
                  <c:v>339</c:v>
                </c:pt>
                <c:pt idx="49">
                  <c:v>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4D-46F2-B902-9094879E537A}"/>
            </c:ext>
          </c:extLst>
        </c:ser>
        <c:ser>
          <c:idx val="1"/>
          <c:order val="1"/>
          <c:tx>
            <c:strRef>
              <c:f>'Task6.1&amp;6.2'!$C$3:$C$4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'Task6.1&amp;6.2'!$A$5:$A$55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'Task6.1&amp;6.2'!$C$5:$C$55</c:f>
              <c:numCache>
                <c:formatCode>General</c:formatCode>
                <c:ptCount val="50"/>
                <c:pt idx="0">
                  <c:v>1047</c:v>
                </c:pt>
                <c:pt idx="1">
                  <c:v>517</c:v>
                </c:pt>
                <c:pt idx="2">
                  <c:v>893</c:v>
                </c:pt>
                <c:pt idx="3">
                  <c:v>629</c:v>
                </c:pt>
                <c:pt idx="4">
                  <c:v>-219</c:v>
                </c:pt>
                <c:pt idx="5">
                  <c:v>1672</c:v>
                </c:pt>
                <c:pt idx="6">
                  <c:v>1845</c:v>
                </c:pt>
                <c:pt idx="7">
                  <c:v>159</c:v>
                </c:pt>
                <c:pt idx="8">
                  <c:v>541</c:v>
                </c:pt>
                <c:pt idx="9">
                  <c:v>352</c:v>
                </c:pt>
                <c:pt idx="10">
                  <c:v>1325</c:v>
                </c:pt>
                <c:pt idx="11">
                  <c:v>76</c:v>
                </c:pt>
                <c:pt idx="12">
                  <c:v>1609</c:v>
                </c:pt>
                <c:pt idx="13">
                  <c:v>1247</c:v>
                </c:pt>
                <c:pt idx="14">
                  <c:v>1572</c:v>
                </c:pt>
                <c:pt idx="15">
                  <c:v>377</c:v>
                </c:pt>
                <c:pt idx="16">
                  <c:v>666</c:v>
                </c:pt>
                <c:pt idx="17">
                  <c:v>1025</c:v>
                </c:pt>
                <c:pt idx="18">
                  <c:v>1872</c:v>
                </c:pt>
                <c:pt idx="19">
                  <c:v>1224</c:v>
                </c:pt>
                <c:pt idx="20">
                  <c:v>262</c:v>
                </c:pt>
                <c:pt idx="21">
                  <c:v>576</c:v>
                </c:pt>
                <c:pt idx="22">
                  <c:v>1397</c:v>
                </c:pt>
                <c:pt idx="23">
                  <c:v>902</c:v>
                </c:pt>
                <c:pt idx="24">
                  <c:v>-49</c:v>
                </c:pt>
                <c:pt idx="25">
                  <c:v>1693</c:v>
                </c:pt>
                <c:pt idx="26">
                  <c:v>1625</c:v>
                </c:pt>
                <c:pt idx="27">
                  <c:v>1119</c:v>
                </c:pt>
                <c:pt idx="28">
                  <c:v>1432</c:v>
                </c:pt>
                <c:pt idx="29">
                  <c:v>684</c:v>
                </c:pt>
                <c:pt idx="30">
                  <c:v>1765</c:v>
                </c:pt>
                <c:pt idx="31">
                  <c:v>903</c:v>
                </c:pt>
                <c:pt idx="32">
                  <c:v>1722</c:v>
                </c:pt>
                <c:pt idx="33">
                  <c:v>1572</c:v>
                </c:pt>
                <c:pt idx="34">
                  <c:v>-166</c:v>
                </c:pt>
                <c:pt idx="35">
                  <c:v>1080</c:v>
                </c:pt>
                <c:pt idx="36">
                  <c:v>1723</c:v>
                </c:pt>
                <c:pt idx="37">
                  <c:v>965</c:v>
                </c:pt>
                <c:pt idx="38">
                  <c:v>1375</c:v>
                </c:pt>
                <c:pt idx="39">
                  <c:v>1315</c:v>
                </c:pt>
                <c:pt idx="40">
                  <c:v>212</c:v>
                </c:pt>
                <c:pt idx="41">
                  <c:v>680</c:v>
                </c:pt>
                <c:pt idx="42">
                  <c:v>461</c:v>
                </c:pt>
                <c:pt idx="43">
                  <c:v>641</c:v>
                </c:pt>
                <c:pt idx="44">
                  <c:v>167</c:v>
                </c:pt>
                <c:pt idx="45">
                  <c:v>-160</c:v>
                </c:pt>
                <c:pt idx="46">
                  <c:v>603</c:v>
                </c:pt>
                <c:pt idx="47">
                  <c:v>1539</c:v>
                </c:pt>
                <c:pt idx="48">
                  <c:v>1881</c:v>
                </c:pt>
                <c:pt idx="49">
                  <c:v>1656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4D-46F2-B902-9094879E537A}"/>
            </c:ext>
          </c:extLst>
        </c:ser>
        <c:ser>
          <c:idx val="2"/>
          <c:order val="2"/>
          <c:tx>
            <c:strRef>
              <c:f>'Task6.1&amp;6.2'!$D$3:$D$4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'Task6.1&amp;6.2'!$A$5:$A$55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'Task6.1&amp;6.2'!$D$5:$D$55</c:f>
              <c:numCache>
                <c:formatCode>General</c:formatCode>
                <c:ptCount val="50"/>
                <c:pt idx="0">
                  <c:v>415</c:v>
                </c:pt>
                <c:pt idx="1">
                  <c:v>186</c:v>
                </c:pt>
                <c:pt idx="2">
                  <c:v>1295</c:v>
                </c:pt>
                <c:pt idx="3">
                  <c:v>835</c:v>
                </c:pt>
                <c:pt idx="4">
                  <c:v>1357</c:v>
                </c:pt>
                <c:pt idx="5">
                  <c:v>547</c:v>
                </c:pt>
                <c:pt idx="6">
                  <c:v>429</c:v>
                </c:pt>
                <c:pt idx="7">
                  <c:v>1316</c:v>
                </c:pt>
                <c:pt idx="8">
                  <c:v>1495</c:v>
                </c:pt>
                <c:pt idx="9">
                  <c:v>328</c:v>
                </c:pt>
                <c:pt idx="10">
                  <c:v>37</c:v>
                </c:pt>
                <c:pt idx="11">
                  <c:v>1665</c:v>
                </c:pt>
                <c:pt idx="12">
                  <c:v>1229</c:v>
                </c:pt>
                <c:pt idx="13">
                  <c:v>197</c:v>
                </c:pt>
                <c:pt idx="14">
                  <c:v>260</c:v>
                </c:pt>
                <c:pt idx="15">
                  <c:v>1125</c:v>
                </c:pt>
                <c:pt idx="16">
                  <c:v>1680</c:v>
                </c:pt>
                <c:pt idx="17">
                  <c:v>599</c:v>
                </c:pt>
                <c:pt idx="18">
                  <c:v>107</c:v>
                </c:pt>
                <c:pt idx="19">
                  <c:v>-20</c:v>
                </c:pt>
                <c:pt idx="20">
                  <c:v>636</c:v>
                </c:pt>
                <c:pt idx="21">
                  <c:v>37</c:v>
                </c:pt>
                <c:pt idx="22">
                  <c:v>1603</c:v>
                </c:pt>
                <c:pt idx="23">
                  <c:v>1150</c:v>
                </c:pt>
                <c:pt idx="24">
                  <c:v>445</c:v>
                </c:pt>
                <c:pt idx="25">
                  <c:v>98</c:v>
                </c:pt>
                <c:pt idx="26">
                  <c:v>1173</c:v>
                </c:pt>
                <c:pt idx="27">
                  <c:v>1727</c:v>
                </c:pt>
                <c:pt idx="28">
                  <c:v>1359</c:v>
                </c:pt>
                <c:pt idx="29">
                  <c:v>911</c:v>
                </c:pt>
                <c:pt idx="30">
                  <c:v>1529</c:v>
                </c:pt>
                <c:pt idx="31">
                  <c:v>1188</c:v>
                </c:pt>
                <c:pt idx="32">
                  <c:v>-144</c:v>
                </c:pt>
                <c:pt idx="33">
                  <c:v>891</c:v>
                </c:pt>
                <c:pt idx="34">
                  <c:v>1426</c:v>
                </c:pt>
                <c:pt idx="35">
                  <c:v>569</c:v>
                </c:pt>
                <c:pt idx="36">
                  <c:v>1202</c:v>
                </c:pt>
                <c:pt idx="37">
                  <c:v>-37</c:v>
                </c:pt>
                <c:pt idx="38">
                  <c:v>708</c:v>
                </c:pt>
                <c:pt idx="39">
                  <c:v>899</c:v>
                </c:pt>
                <c:pt idx="40">
                  <c:v>1350</c:v>
                </c:pt>
                <c:pt idx="41">
                  <c:v>861</c:v>
                </c:pt>
                <c:pt idx="42">
                  <c:v>292</c:v>
                </c:pt>
                <c:pt idx="43">
                  <c:v>1676</c:v>
                </c:pt>
                <c:pt idx="44">
                  <c:v>1007</c:v>
                </c:pt>
                <c:pt idx="45">
                  <c:v>53</c:v>
                </c:pt>
                <c:pt idx="46">
                  <c:v>759</c:v>
                </c:pt>
                <c:pt idx="47">
                  <c:v>948</c:v>
                </c:pt>
                <c:pt idx="48">
                  <c:v>1510</c:v>
                </c:pt>
                <c:pt idx="49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4D-46F2-B902-9094879E537A}"/>
            </c:ext>
          </c:extLst>
        </c:ser>
        <c:ser>
          <c:idx val="3"/>
          <c:order val="3"/>
          <c:tx>
            <c:strRef>
              <c:f>'Task6.1&amp;6.2'!$E$3:$E$4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'Task6.1&amp;6.2'!$A$5:$A$55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'Task6.1&amp;6.2'!$E$5:$E$55</c:f>
              <c:numCache>
                <c:formatCode>General</c:formatCode>
                <c:ptCount val="50"/>
                <c:pt idx="0">
                  <c:v>1090</c:v>
                </c:pt>
                <c:pt idx="1">
                  <c:v>994</c:v>
                </c:pt>
                <c:pt idx="2">
                  <c:v>337</c:v>
                </c:pt>
                <c:pt idx="3">
                  <c:v>-123</c:v>
                </c:pt>
                <c:pt idx="4">
                  <c:v>91</c:v>
                </c:pt>
                <c:pt idx="5">
                  <c:v>514</c:v>
                </c:pt>
                <c:pt idx="6">
                  <c:v>160</c:v>
                </c:pt>
                <c:pt idx="7">
                  <c:v>317</c:v>
                </c:pt>
                <c:pt idx="8">
                  <c:v>475</c:v>
                </c:pt>
                <c:pt idx="9">
                  <c:v>319</c:v>
                </c:pt>
                <c:pt idx="10">
                  <c:v>1032</c:v>
                </c:pt>
                <c:pt idx="11">
                  <c:v>190</c:v>
                </c:pt>
                <c:pt idx="12">
                  <c:v>28</c:v>
                </c:pt>
                <c:pt idx="13">
                  <c:v>333</c:v>
                </c:pt>
                <c:pt idx="14">
                  <c:v>1100</c:v>
                </c:pt>
                <c:pt idx="15">
                  <c:v>-32</c:v>
                </c:pt>
                <c:pt idx="16">
                  <c:v>1006</c:v>
                </c:pt>
                <c:pt idx="17">
                  <c:v>1706</c:v>
                </c:pt>
                <c:pt idx="18">
                  <c:v>118</c:v>
                </c:pt>
                <c:pt idx="19">
                  <c:v>367</c:v>
                </c:pt>
                <c:pt idx="20">
                  <c:v>1484</c:v>
                </c:pt>
                <c:pt idx="21">
                  <c:v>1657</c:v>
                </c:pt>
                <c:pt idx="22">
                  <c:v>1044</c:v>
                </c:pt>
                <c:pt idx="23">
                  <c:v>349</c:v>
                </c:pt>
                <c:pt idx="24">
                  <c:v>60</c:v>
                </c:pt>
                <c:pt idx="25">
                  <c:v>885</c:v>
                </c:pt>
                <c:pt idx="26">
                  <c:v>291</c:v>
                </c:pt>
                <c:pt idx="27">
                  <c:v>573</c:v>
                </c:pt>
                <c:pt idx="28">
                  <c:v>876</c:v>
                </c:pt>
                <c:pt idx="29">
                  <c:v>1589</c:v>
                </c:pt>
                <c:pt idx="30">
                  <c:v>1460</c:v>
                </c:pt>
                <c:pt idx="31">
                  <c:v>846</c:v>
                </c:pt>
                <c:pt idx="32">
                  <c:v>901</c:v>
                </c:pt>
                <c:pt idx="33">
                  <c:v>724</c:v>
                </c:pt>
                <c:pt idx="34">
                  <c:v>1225</c:v>
                </c:pt>
                <c:pt idx="35">
                  <c:v>-203</c:v>
                </c:pt>
                <c:pt idx="36">
                  <c:v>1444</c:v>
                </c:pt>
                <c:pt idx="37">
                  <c:v>1175</c:v>
                </c:pt>
                <c:pt idx="38">
                  <c:v>1016</c:v>
                </c:pt>
                <c:pt idx="39">
                  <c:v>315</c:v>
                </c:pt>
                <c:pt idx="40">
                  <c:v>1242</c:v>
                </c:pt>
                <c:pt idx="41">
                  <c:v>1385</c:v>
                </c:pt>
                <c:pt idx="42">
                  <c:v>389</c:v>
                </c:pt>
                <c:pt idx="43">
                  <c:v>1467</c:v>
                </c:pt>
                <c:pt idx="44">
                  <c:v>209</c:v>
                </c:pt>
                <c:pt idx="45">
                  <c:v>145</c:v>
                </c:pt>
                <c:pt idx="46">
                  <c:v>1633</c:v>
                </c:pt>
                <c:pt idx="47">
                  <c:v>637</c:v>
                </c:pt>
                <c:pt idx="48">
                  <c:v>864</c:v>
                </c:pt>
                <c:pt idx="49">
                  <c:v>-337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4D-46F2-B902-9094879E5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2757792"/>
        <c:axId val="1962759712"/>
      </c:lineChart>
      <c:catAx>
        <c:axId val="196275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759712"/>
        <c:crosses val="autoZero"/>
        <c:auto val="1"/>
        <c:lblAlgn val="ctr"/>
        <c:lblOffset val="100"/>
        <c:noMultiLvlLbl val="0"/>
      </c:catAx>
      <c:valAx>
        <c:axId val="196275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75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'6.3&amp;6.4'!$C$3</c:f>
              <c:strCache>
                <c:ptCount val="1"/>
                <c:pt idx="0">
                  <c:v>Follower_Gain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'6.3&amp;6.4'!$B$4:$B$203</c:f>
              <c:numCache>
                <c:formatCode>General</c:formatCode>
                <c:ptCount val="200"/>
                <c:pt idx="0">
                  <c:v>5904</c:v>
                </c:pt>
                <c:pt idx="1">
                  <c:v>9566</c:v>
                </c:pt>
                <c:pt idx="2">
                  <c:v>26752</c:v>
                </c:pt>
                <c:pt idx="3">
                  <c:v>30671</c:v>
                </c:pt>
                <c:pt idx="4">
                  <c:v>9920</c:v>
                </c:pt>
                <c:pt idx="5">
                  <c:v>7924</c:v>
                </c:pt>
                <c:pt idx="6">
                  <c:v>8912</c:v>
                </c:pt>
                <c:pt idx="7">
                  <c:v>21205</c:v>
                </c:pt>
                <c:pt idx="8">
                  <c:v>11329</c:v>
                </c:pt>
                <c:pt idx="9">
                  <c:v>46670</c:v>
                </c:pt>
                <c:pt idx="10">
                  <c:v>22482</c:v>
                </c:pt>
                <c:pt idx="11">
                  <c:v>24313</c:v>
                </c:pt>
                <c:pt idx="12">
                  <c:v>18050</c:v>
                </c:pt>
                <c:pt idx="13">
                  <c:v>30635</c:v>
                </c:pt>
                <c:pt idx="14">
                  <c:v>31280</c:v>
                </c:pt>
                <c:pt idx="15">
                  <c:v>1783</c:v>
                </c:pt>
                <c:pt idx="16">
                  <c:v>9566</c:v>
                </c:pt>
                <c:pt idx="17">
                  <c:v>42307</c:v>
                </c:pt>
                <c:pt idx="18">
                  <c:v>5914</c:v>
                </c:pt>
                <c:pt idx="19">
                  <c:v>30060</c:v>
                </c:pt>
                <c:pt idx="20">
                  <c:v>22728</c:v>
                </c:pt>
                <c:pt idx="21">
                  <c:v>38610</c:v>
                </c:pt>
                <c:pt idx="22">
                  <c:v>2932</c:v>
                </c:pt>
                <c:pt idx="23">
                  <c:v>15071</c:v>
                </c:pt>
                <c:pt idx="24">
                  <c:v>10740</c:v>
                </c:pt>
                <c:pt idx="25">
                  <c:v>43420</c:v>
                </c:pt>
                <c:pt idx="26">
                  <c:v>32393</c:v>
                </c:pt>
                <c:pt idx="27">
                  <c:v>28474</c:v>
                </c:pt>
                <c:pt idx="28">
                  <c:v>17328</c:v>
                </c:pt>
                <c:pt idx="29">
                  <c:v>26067</c:v>
                </c:pt>
                <c:pt idx="30">
                  <c:v>32763</c:v>
                </c:pt>
                <c:pt idx="31">
                  <c:v>26452</c:v>
                </c:pt>
                <c:pt idx="32">
                  <c:v>15353</c:v>
                </c:pt>
                <c:pt idx="33">
                  <c:v>4839</c:v>
                </c:pt>
                <c:pt idx="34">
                  <c:v>39272</c:v>
                </c:pt>
                <c:pt idx="35">
                  <c:v>16804</c:v>
                </c:pt>
                <c:pt idx="36">
                  <c:v>49303</c:v>
                </c:pt>
                <c:pt idx="37">
                  <c:v>26455</c:v>
                </c:pt>
                <c:pt idx="38">
                  <c:v>12384</c:v>
                </c:pt>
                <c:pt idx="39">
                  <c:v>49372</c:v>
                </c:pt>
                <c:pt idx="40">
                  <c:v>47101</c:v>
                </c:pt>
                <c:pt idx="41">
                  <c:v>37903</c:v>
                </c:pt>
                <c:pt idx="42">
                  <c:v>33258</c:v>
                </c:pt>
                <c:pt idx="43">
                  <c:v>6915</c:v>
                </c:pt>
                <c:pt idx="44">
                  <c:v>35501</c:v>
                </c:pt>
                <c:pt idx="45">
                  <c:v>14203</c:v>
                </c:pt>
                <c:pt idx="46">
                  <c:v>22206</c:v>
                </c:pt>
                <c:pt idx="47">
                  <c:v>10283</c:v>
                </c:pt>
                <c:pt idx="48">
                  <c:v>24913</c:v>
                </c:pt>
                <c:pt idx="49">
                  <c:v>26925</c:v>
                </c:pt>
                <c:pt idx="50">
                  <c:v>9942</c:v>
                </c:pt>
                <c:pt idx="51">
                  <c:v>32929</c:v>
                </c:pt>
                <c:pt idx="52">
                  <c:v>37829</c:v>
                </c:pt>
                <c:pt idx="53">
                  <c:v>24384</c:v>
                </c:pt>
                <c:pt idx="54">
                  <c:v>25797</c:v>
                </c:pt>
                <c:pt idx="55">
                  <c:v>12646</c:v>
                </c:pt>
                <c:pt idx="56">
                  <c:v>26663</c:v>
                </c:pt>
                <c:pt idx="57">
                  <c:v>40478</c:v>
                </c:pt>
                <c:pt idx="58">
                  <c:v>15476</c:v>
                </c:pt>
                <c:pt idx="59">
                  <c:v>10217</c:v>
                </c:pt>
                <c:pt idx="60">
                  <c:v>21939</c:v>
                </c:pt>
                <c:pt idx="61">
                  <c:v>47462</c:v>
                </c:pt>
                <c:pt idx="62">
                  <c:v>30270</c:v>
                </c:pt>
                <c:pt idx="63">
                  <c:v>5442</c:v>
                </c:pt>
                <c:pt idx="64">
                  <c:v>1083</c:v>
                </c:pt>
                <c:pt idx="65">
                  <c:v>11901</c:v>
                </c:pt>
                <c:pt idx="66">
                  <c:v>24018</c:v>
                </c:pt>
                <c:pt idx="67">
                  <c:v>38883</c:v>
                </c:pt>
                <c:pt idx="68">
                  <c:v>30575</c:v>
                </c:pt>
                <c:pt idx="69">
                  <c:v>2315</c:v>
                </c:pt>
                <c:pt idx="70">
                  <c:v>12148</c:v>
                </c:pt>
                <c:pt idx="71">
                  <c:v>36851</c:v>
                </c:pt>
                <c:pt idx="72">
                  <c:v>41215</c:v>
                </c:pt>
                <c:pt idx="73">
                  <c:v>43836</c:v>
                </c:pt>
                <c:pt idx="74">
                  <c:v>4509</c:v>
                </c:pt>
                <c:pt idx="75">
                  <c:v>27822</c:v>
                </c:pt>
                <c:pt idx="76">
                  <c:v>36397</c:v>
                </c:pt>
                <c:pt idx="77">
                  <c:v>7285</c:v>
                </c:pt>
                <c:pt idx="78">
                  <c:v>33174</c:v>
                </c:pt>
                <c:pt idx="79">
                  <c:v>6742</c:v>
                </c:pt>
                <c:pt idx="80">
                  <c:v>32478</c:v>
                </c:pt>
                <c:pt idx="81">
                  <c:v>42824</c:v>
                </c:pt>
                <c:pt idx="82">
                  <c:v>21208</c:v>
                </c:pt>
                <c:pt idx="83">
                  <c:v>44321</c:v>
                </c:pt>
                <c:pt idx="84">
                  <c:v>13116</c:v>
                </c:pt>
                <c:pt idx="85">
                  <c:v>30214</c:v>
                </c:pt>
                <c:pt idx="86">
                  <c:v>15827</c:v>
                </c:pt>
                <c:pt idx="87">
                  <c:v>46643</c:v>
                </c:pt>
                <c:pt idx="88">
                  <c:v>36484</c:v>
                </c:pt>
                <c:pt idx="89">
                  <c:v>4996</c:v>
                </c:pt>
                <c:pt idx="90">
                  <c:v>36095</c:v>
                </c:pt>
                <c:pt idx="91">
                  <c:v>16443</c:v>
                </c:pt>
                <c:pt idx="92">
                  <c:v>47812</c:v>
                </c:pt>
                <c:pt idx="93">
                  <c:v>38452</c:v>
                </c:pt>
                <c:pt idx="94">
                  <c:v>30428</c:v>
                </c:pt>
                <c:pt idx="95">
                  <c:v>9269</c:v>
                </c:pt>
                <c:pt idx="96">
                  <c:v>29533</c:v>
                </c:pt>
                <c:pt idx="97">
                  <c:v>39997</c:v>
                </c:pt>
                <c:pt idx="98">
                  <c:v>5391</c:v>
                </c:pt>
                <c:pt idx="99">
                  <c:v>22373</c:v>
                </c:pt>
                <c:pt idx="100">
                  <c:v>1810</c:v>
                </c:pt>
                <c:pt idx="101">
                  <c:v>28498</c:v>
                </c:pt>
                <c:pt idx="102">
                  <c:v>39530</c:v>
                </c:pt>
                <c:pt idx="103">
                  <c:v>37876</c:v>
                </c:pt>
                <c:pt idx="104">
                  <c:v>36103</c:v>
                </c:pt>
                <c:pt idx="105">
                  <c:v>26103</c:v>
                </c:pt>
                <c:pt idx="106">
                  <c:v>3455</c:v>
                </c:pt>
                <c:pt idx="107">
                  <c:v>40888</c:v>
                </c:pt>
                <c:pt idx="108">
                  <c:v>22724</c:v>
                </c:pt>
                <c:pt idx="109">
                  <c:v>18601</c:v>
                </c:pt>
                <c:pt idx="110">
                  <c:v>20861</c:v>
                </c:pt>
                <c:pt idx="111">
                  <c:v>46625</c:v>
                </c:pt>
                <c:pt idx="112">
                  <c:v>20692</c:v>
                </c:pt>
                <c:pt idx="113">
                  <c:v>18656</c:v>
                </c:pt>
                <c:pt idx="114">
                  <c:v>13316</c:v>
                </c:pt>
                <c:pt idx="115">
                  <c:v>49558</c:v>
                </c:pt>
                <c:pt idx="116">
                  <c:v>4683</c:v>
                </c:pt>
                <c:pt idx="117">
                  <c:v>47502</c:v>
                </c:pt>
                <c:pt idx="118">
                  <c:v>35359</c:v>
                </c:pt>
                <c:pt idx="119">
                  <c:v>14154</c:v>
                </c:pt>
                <c:pt idx="120">
                  <c:v>4313</c:v>
                </c:pt>
                <c:pt idx="121">
                  <c:v>25140</c:v>
                </c:pt>
                <c:pt idx="122">
                  <c:v>9118</c:v>
                </c:pt>
                <c:pt idx="123">
                  <c:v>39931</c:v>
                </c:pt>
                <c:pt idx="124">
                  <c:v>37132</c:v>
                </c:pt>
                <c:pt idx="125">
                  <c:v>17951</c:v>
                </c:pt>
                <c:pt idx="126">
                  <c:v>2798</c:v>
                </c:pt>
                <c:pt idx="127">
                  <c:v>15045</c:v>
                </c:pt>
                <c:pt idx="128">
                  <c:v>14548</c:v>
                </c:pt>
                <c:pt idx="129">
                  <c:v>45708</c:v>
                </c:pt>
                <c:pt idx="130">
                  <c:v>12350</c:v>
                </c:pt>
                <c:pt idx="131">
                  <c:v>40868</c:v>
                </c:pt>
                <c:pt idx="132">
                  <c:v>43122</c:v>
                </c:pt>
                <c:pt idx="133">
                  <c:v>23853</c:v>
                </c:pt>
                <c:pt idx="134">
                  <c:v>45380</c:v>
                </c:pt>
                <c:pt idx="135">
                  <c:v>7705</c:v>
                </c:pt>
                <c:pt idx="136">
                  <c:v>25525</c:v>
                </c:pt>
                <c:pt idx="137">
                  <c:v>20560</c:v>
                </c:pt>
                <c:pt idx="138">
                  <c:v>19119</c:v>
                </c:pt>
                <c:pt idx="139">
                  <c:v>43999</c:v>
                </c:pt>
                <c:pt idx="140">
                  <c:v>10825</c:v>
                </c:pt>
                <c:pt idx="141">
                  <c:v>40323</c:v>
                </c:pt>
                <c:pt idx="142">
                  <c:v>48270</c:v>
                </c:pt>
                <c:pt idx="143">
                  <c:v>18001</c:v>
                </c:pt>
                <c:pt idx="144">
                  <c:v>3314</c:v>
                </c:pt>
                <c:pt idx="145">
                  <c:v>23489</c:v>
                </c:pt>
                <c:pt idx="146">
                  <c:v>42832</c:v>
                </c:pt>
                <c:pt idx="147">
                  <c:v>24494</c:v>
                </c:pt>
                <c:pt idx="148">
                  <c:v>44097</c:v>
                </c:pt>
                <c:pt idx="149">
                  <c:v>31853</c:v>
                </c:pt>
                <c:pt idx="150">
                  <c:v>37636</c:v>
                </c:pt>
                <c:pt idx="151">
                  <c:v>22996</c:v>
                </c:pt>
                <c:pt idx="152">
                  <c:v>49772</c:v>
                </c:pt>
                <c:pt idx="153">
                  <c:v>22713</c:v>
                </c:pt>
                <c:pt idx="154">
                  <c:v>8718</c:v>
                </c:pt>
                <c:pt idx="155">
                  <c:v>39031</c:v>
                </c:pt>
                <c:pt idx="156">
                  <c:v>33799</c:v>
                </c:pt>
                <c:pt idx="157">
                  <c:v>20553</c:v>
                </c:pt>
                <c:pt idx="158">
                  <c:v>10002</c:v>
                </c:pt>
                <c:pt idx="159">
                  <c:v>30987</c:v>
                </c:pt>
                <c:pt idx="160">
                  <c:v>6296</c:v>
                </c:pt>
                <c:pt idx="161">
                  <c:v>21539</c:v>
                </c:pt>
                <c:pt idx="162">
                  <c:v>14722</c:v>
                </c:pt>
                <c:pt idx="163">
                  <c:v>11383</c:v>
                </c:pt>
                <c:pt idx="164">
                  <c:v>9480</c:v>
                </c:pt>
                <c:pt idx="165">
                  <c:v>29116</c:v>
                </c:pt>
                <c:pt idx="166">
                  <c:v>14068</c:v>
                </c:pt>
                <c:pt idx="167">
                  <c:v>35801</c:v>
                </c:pt>
                <c:pt idx="168">
                  <c:v>49077</c:v>
                </c:pt>
                <c:pt idx="169">
                  <c:v>21453</c:v>
                </c:pt>
                <c:pt idx="170">
                  <c:v>21061</c:v>
                </c:pt>
                <c:pt idx="171">
                  <c:v>20059</c:v>
                </c:pt>
                <c:pt idx="172">
                  <c:v>23140</c:v>
                </c:pt>
                <c:pt idx="173">
                  <c:v>23461</c:v>
                </c:pt>
                <c:pt idx="174">
                  <c:v>11805</c:v>
                </c:pt>
                <c:pt idx="175">
                  <c:v>15969</c:v>
                </c:pt>
                <c:pt idx="176">
                  <c:v>2436</c:v>
                </c:pt>
                <c:pt idx="177">
                  <c:v>47603</c:v>
                </c:pt>
                <c:pt idx="178">
                  <c:v>42964</c:v>
                </c:pt>
                <c:pt idx="179">
                  <c:v>39923</c:v>
                </c:pt>
                <c:pt idx="180">
                  <c:v>2293</c:v>
                </c:pt>
                <c:pt idx="181">
                  <c:v>25920</c:v>
                </c:pt>
                <c:pt idx="182">
                  <c:v>11035</c:v>
                </c:pt>
                <c:pt idx="183">
                  <c:v>20733</c:v>
                </c:pt>
                <c:pt idx="184">
                  <c:v>18693</c:v>
                </c:pt>
                <c:pt idx="185">
                  <c:v>7875</c:v>
                </c:pt>
                <c:pt idx="186">
                  <c:v>8471</c:v>
                </c:pt>
                <c:pt idx="187">
                  <c:v>14090</c:v>
                </c:pt>
                <c:pt idx="188">
                  <c:v>14216</c:v>
                </c:pt>
                <c:pt idx="189">
                  <c:v>3582</c:v>
                </c:pt>
                <c:pt idx="190">
                  <c:v>32500</c:v>
                </c:pt>
                <c:pt idx="191">
                  <c:v>6832</c:v>
                </c:pt>
                <c:pt idx="192">
                  <c:v>33381</c:v>
                </c:pt>
                <c:pt idx="193">
                  <c:v>48419</c:v>
                </c:pt>
                <c:pt idx="194">
                  <c:v>16149</c:v>
                </c:pt>
                <c:pt idx="195">
                  <c:v>7541</c:v>
                </c:pt>
                <c:pt idx="196">
                  <c:v>20042</c:v>
                </c:pt>
                <c:pt idx="197">
                  <c:v>49400</c:v>
                </c:pt>
                <c:pt idx="198">
                  <c:v>4007</c:v>
                </c:pt>
                <c:pt idx="199">
                  <c:v>12174</c:v>
                </c:pt>
              </c:numCache>
            </c:numRef>
          </c:xVal>
          <c:yVal>
            <c:numRef>
              <c:f>'6.3&amp;6.4'!$C$4:$C$203</c:f>
              <c:numCache>
                <c:formatCode>General</c:formatCode>
                <c:ptCount val="200"/>
                <c:pt idx="0">
                  <c:v>1047</c:v>
                </c:pt>
                <c:pt idx="1">
                  <c:v>1002</c:v>
                </c:pt>
                <c:pt idx="2">
                  <c:v>415</c:v>
                </c:pt>
                <c:pt idx="3">
                  <c:v>1090</c:v>
                </c:pt>
                <c:pt idx="4">
                  <c:v>517</c:v>
                </c:pt>
                <c:pt idx="5">
                  <c:v>1283</c:v>
                </c:pt>
                <c:pt idx="6">
                  <c:v>186</c:v>
                </c:pt>
                <c:pt idx="7">
                  <c:v>994</c:v>
                </c:pt>
                <c:pt idx="8">
                  <c:v>893</c:v>
                </c:pt>
                <c:pt idx="9">
                  <c:v>1382</c:v>
                </c:pt>
                <c:pt idx="10">
                  <c:v>1295</c:v>
                </c:pt>
                <c:pt idx="11">
                  <c:v>337</c:v>
                </c:pt>
                <c:pt idx="12">
                  <c:v>629</c:v>
                </c:pt>
                <c:pt idx="13">
                  <c:v>1670</c:v>
                </c:pt>
                <c:pt idx="14">
                  <c:v>835</c:v>
                </c:pt>
                <c:pt idx="15">
                  <c:v>-123</c:v>
                </c:pt>
                <c:pt idx="16">
                  <c:v>-219</c:v>
                </c:pt>
                <c:pt idx="17">
                  <c:v>64</c:v>
                </c:pt>
                <c:pt idx="18">
                  <c:v>1357</c:v>
                </c:pt>
                <c:pt idx="19">
                  <c:v>91</c:v>
                </c:pt>
                <c:pt idx="20">
                  <c:v>1672</c:v>
                </c:pt>
                <c:pt idx="21">
                  <c:v>309</c:v>
                </c:pt>
                <c:pt idx="22">
                  <c:v>547</c:v>
                </c:pt>
                <c:pt idx="23">
                  <c:v>514</c:v>
                </c:pt>
                <c:pt idx="24">
                  <c:v>1845</c:v>
                </c:pt>
                <c:pt idx="25">
                  <c:v>-164</c:v>
                </c:pt>
                <c:pt idx="26">
                  <c:v>429</c:v>
                </c:pt>
                <c:pt idx="27">
                  <c:v>160</c:v>
                </c:pt>
                <c:pt idx="28">
                  <c:v>159</c:v>
                </c:pt>
                <c:pt idx="29">
                  <c:v>961</c:v>
                </c:pt>
                <c:pt idx="30">
                  <c:v>1316</c:v>
                </c:pt>
                <c:pt idx="31">
                  <c:v>317</c:v>
                </c:pt>
                <c:pt idx="32">
                  <c:v>541</c:v>
                </c:pt>
                <c:pt idx="33">
                  <c:v>-318</c:v>
                </c:pt>
                <c:pt idx="34">
                  <c:v>1495</c:v>
                </c:pt>
                <c:pt idx="35">
                  <c:v>475</c:v>
                </c:pt>
                <c:pt idx="36">
                  <c:v>352</c:v>
                </c:pt>
                <c:pt idx="37">
                  <c:v>-197</c:v>
                </c:pt>
                <c:pt idx="38">
                  <c:v>328</c:v>
                </c:pt>
                <c:pt idx="39">
                  <c:v>319</c:v>
                </c:pt>
                <c:pt idx="40">
                  <c:v>1325</c:v>
                </c:pt>
                <c:pt idx="41">
                  <c:v>1334</c:v>
                </c:pt>
                <c:pt idx="42">
                  <c:v>37</c:v>
                </c:pt>
                <c:pt idx="43">
                  <c:v>1032</c:v>
                </c:pt>
                <c:pt idx="44">
                  <c:v>76</c:v>
                </c:pt>
                <c:pt idx="45">
                  <c:v>1058</c:v>
                </c:pt>
                <c:pt idx="46">
                  <c:v>1665</c:v>
                </c:pt>
                <c:pt idx="47">
                  <c:v>190</c:v>
                </c:pt>
                <c:pt idx="48">
                  <c:v>1609</c:v>
                </c:pt>
                <c:pt idx="49">
                  <c:v>37</c:v>
                </c:pt>
                <c:pt idx="50">
                  <c:v>1229</c:v>
                </c:pt>
                <c:pt idx="51">
                  <c:v>28</c:v>
                </c:pt>
                <c:pt idx="52">
                  <c:v>1247</c:v>
                </c:pt>
                <c:pt idx="53">
                  <c:v>1045</c:v>
                </c:pt>
                <c:pt idx="54">
                  <c:v>197</c:v>
                </c:pt>
                <c:pt idx="55">
                  <c:v>333</c:v>
                </c:pt>
                <c:pt idx="56">
                  <c:v>1572</c:v>
                </c:pt>
                <c:pt idx="57">
                  <c:v>1428</c:v>
                </c:pt>
                <c:pt idx="58">
                  <c:v>260</c:v>
                </c:pt>
                <c:pt idx="59">
                  <c:v>1100</c:v>
                </c:pt>
                <c:pt idx="60">
                  <c:v>377</c:v>
                </c:pt>
                <c:pt idx="61">
                  <c:v>98</c:v>
                </c:pt>
                <c:pt idx="62">
                  <c:v>1125</c:v>
                </c:pt>
                <c:pt idx="63">
                  <c:v>-32</c:v>
                </c:pt>
                <c:pt idx="64">
                  <c:v>666</c:v>
                </c:pt>
                <c:pt idx="65">
                  <c:v>-19</c:v>
                </c:pt>
                <c:pt idx="66">
                  <c:v>1680</c:v>
                </c:pt>
                <c:pt idx="67">
                  <c:v>1006</c:v>
                </c:pt>
                <c:pt idx="68">
                  <c:v>1025</c:v>
                </c:pt>
                <c:pt idx="69">
                  <c:v>-179</c:v>
                </c:pt>
                <c:pt idx="70">
                  <c:v>599</c:v>
                </c:pt>
                <c:pt idx="71">
                  <c:v>1706</c:v>
                </c:pt>
                <c:pt idx="72">
                  <c:v>1872</c:v>
                </c:pt>
                <c:pt idx="73">
                  <c:v>1662</c:v>
                </c:pt>
                <c:pt idx="74">
                  <c:v>107</c:v>
                </c:pt>
                <c:pt idx="75">
                  <c:v>118</c:v>
                </c:pt>
                <c:pt idx="76">
                  <c:v>1224</c:v>
                </c:pt>
                <c:pt idx="77">
                  <c:v>285</c:v>
                </c:pt>
                <c:pt idx="78">
                  <c:v>-20</c:v>
                </c:pt>
                <c:pt idx="79">
                  <c:v>367</c:v>
                </c:pt>
                <c:pt idx="80">
                  <c:v>262</c:v>
                </c:pt>
                <c:pt idx="81">
                  <c:v>439</c:v>
                </c:pt>
                <c:pt idx="82">
                  <c:v>636</c:v>
                </c:pt>
                <c:pt idx="83">
                  <c:v>1484</c:v>
                </c:pt>
                <c:pt idx="84">
                  <c:v>576</c:v>
                </c:pt>
                <c:pt idx="85">
                  <c:v>386</c:v>
                </c:pt>
                <c:pt idx="86">
                  <c:v>37</c:v>
                </c:pt>
                <c:pt idx="87">
                  <c:v>1657</c:v>
                </c:pt>
                <c:pt idx="88">
                  <c:v>1397</c:v>
                </c:pt>
                <c:pt idx="89">
                  <c:v>540</c:v>
                </c:pt>
                <c:pt idx="90">
                  <c:v>1603</c:v>
                </c:pt>
                <c:pt idx="91">
                  <c:v>1044</c:v>
                </c:pt>
                <c:pt idx="92">
                  <c:v>902</c:v>
                </c:pt>
                <c:pt idx="93">
                  <c:v>-106</c:v>
                </c:pt>
                <c:pt idx="94">
                  <c:v>1150</c:v>
                </c:pt>
                <c:pt idx="95">
                  <c:v>349</c:v>
                </c:pt>
                <c:pt idx="96">
                  <c:v>-49</c:v>
                </c:pt>
                <c:pt idx="97">
                  <c:v>72</c:v>
                </c:pt>
                <c:pt idx="98">
                  <c:v>445</c:v>
                </c:pt>
                <c:pt idx="99">
                  <c:v>60</c:v>
                </c:pt>
                <c:pt idx="100">
                  <c:v>1693</c:v>
                </c:pt>
                <c:pt idx="101">
                  <c:v>1332</c:v>
                </c:pt>
                <c:pt idx="102">
                  <c:v>98</c:v>
                </c:pt>
                <c:pt idx="103">
                  <c:v>885</c:v>
                </c:pt>
                <c:pt idx="104">
                  <c:v>1625</c:v>
                </c:pt>
                <c:pt idx="105">
                  <c:v>1706</c:v>
                </c:pt>
                <c:pt idx="106">
                  <c:v>1173</c:v>
                </c:pt>
                <c:pt idx="107">
                  <c:v>291</c:v>
                </c:pt>
                <c:pt idx="108">
                  <c:v>1119</c:v>
                </c:pt>
                <c:pt idx="109">
                  <c:v>1373</c:v>
                </c:pt>
                <c:pt idx="110">
                  <c:v>1727</c:v>
                </c:pt>
                <c:pt idx="111">
                  <c:v>573</c:v>
                </c:pt>
                <c:pt idx="112">
                  <c:v>1432</c:v>
                </c:pt>
                <c:pt idx="113">
                  <c:v>1377</c:v>
                </c:pt>
                <c:pt idx="114">
                  <c:v>1359</c:v>
                </c:pt>
                <c:pt idx="115">
                  <c:v>876</c:v>
                </c:pt>
                <c:pt idx="116">
                  <c:v>684</c:v>
                </c:pt>
                <c:pt idx="117">
                  <c:v>730</c:v>
                </c:pt>
                <c:pt idx="118">
                  <c:v>911</c:v>
                </c:pt>
                <c:pt idx="119">
                  <c:v>1589</c:v>
                </c:pt>
                <c:pt idx="120">
                  <c:v>1765</c:v>
                </c:pt>
                <c:pt idx="121">
                  <c:v>1776</c:v>
                </c:pt>
                <c:pt idx="122">
                  <c:v>1529</c:v>
                </c:pt>
                <c:pt idx="123">
                  <c:v>1460</c:v>
                </c:pt>
                <c:pt idx="124">
                  <c:v>903</c:v>
                </c:pt>
                <c:pt idx="125">
                  <c:v>620</c:v>
                </c:pt>
                <c:pt idx="126">
                  <c:v>1188</c:v>
                </c:pt>
                <c:pt idx="127">
                  <c:v>846</c:v>
                </c:pt>
                <c:pt idx="128">
                  <c:v>1722</c:v>
                </c:pt>
                <c:pt idx="129">
                  <c:v>298</c:v>
                </c:pt>
                <c:pt idx="130">
                  <c:v>-144</c:v>
                </c:pt>
                <c:pt idx="131">
                  <c:v>901</c:v>
                </c:pt>
                <c:pt idx="132">
                  <c:v>1572</c:v>
                </c:pt>
                <c:pt idx="133">
                  <c:v>427</c:v>
                </c:pt>
                <c:pt idx="134">
                  <c:v>891</c:v>
                </c:pt>
                <c:pt idx="135">
                  <c:v>724</c:v>
                </c:pt>
                <c:pt idx="136">
                  <c:v>-166</c:v>
                </c:pt>
                <c:pt idx="137">
                  <c:v>898</c:v>
                </c:pt>
                <c:pt idx="138">
                  <c:v>1426</c:v>
                </c:pt>
                <c:pt idx="139">
                  <c:v>1225</c:v>
                </c:pt>
                <c:pt idx="140">
                  <c:v>1080</c:v>
                </c:pt>
                <c:pt idx="141">
                  <c:v>748</c:v>
                </c:pt>
                <c:pt idx="142">
                  <c:v>569</c:v>
                </c:pt>
                <c:pt idx="143">
                  <c:v>-203</c:v>
                </c:pt>
                <c:pt idx="144">
                  <c:v>1723</c:v>
                </c:pt>
                <c:pt idx="145">
                  <c:v>912</c:v>
                </c:pt>
                <c:pt idx="146">
                  <c:v>1202</c:v>
                </c:pt>
                <c:pt idx="147">
                  <c:v>1444</c:v>
                </c:pt>
                <c:pt idx="148">
                  <c:v>965</c:v>
                </c:pt>
                <c:pt idx="149">
                  <c:v>1590</c:v>
                </c:pt>
                <c:pt idx="150">
                  <c:v>-37</c:v>
                </c:pt>
                <c:pt idx="151">
                  <c:v>1175</c:v>
                </c:pt>
                <c:pt idx="152">
                  <c:v>1375</c:v>
                </c:pt>
                <c:pt idx="153">
                  <c:v>1707</c:v>
                </c:pt>
                <c:pt idx="154">
                  <c:v>708</c:v>
                </c:pt>
                <c:pt idx="155">
                  <c:v>1016</c:v>
                </c:pt>
                <c:pt idx="156">
                  <c:v>1315</c:v>
                </c:pt>
                <c:pt idx="157">
                  <c:v>-119</c:v>
                </c:pt>
                <c:pt idx="158">
                  <c:v>899</c:v>
                </c:pt>
                <c:pt idx="159">
                  <c:v>315</c:v>
                </c:pt>
                <c:pt idx="160">
                  <c:v>212</c:v>
                </c:pt>
                <c:pt idx="161">
                  <c:v>908</c:v>
                </c:pt>
                <c:pt idx="162">
                  <c:v>1350</c:v>
                </c:pt>
                <c:pt idx="163">
                  <c:v>1242</c:v>
                </c:pt>
                <c:pt idx="164">
                  <c:v>680</c:v>
                </c:pt>
                <c:pt idx="165">
                  <c:v>1116</c:v>
                </c:pt>
                <c:pt idx="166">
                  <c:v>861</c:v>
                </c:pt>
                <c:pt idx="167">
                  <c:v>1385</c:v>
                </c:pt>
                <c:pt idx="168">
                  <c:v>461</c:v>
                </c:pt>
                <c:pt idx="169">
                  <c:v>474</c:v>
                </c:pt>
                <c:pt idx="170">
                  <c:v>292</c:v>
                </c:pt>
                <c:pt idx="171">
                  <c:v>389</c:v>
                </c:pt>
                <c:pt idx="172">
                  <c:v>641</c:v>
                </c:pt>
                <c:pt idx="173">
                  <c:v>514</c:v>
                </c:pt>
                <c:pt idx="174">
                  <c:v>1676</c:v>
                </c:pt>
                <c:pt idx="175">
                  <c:v>1467</c:v>
                </c:pt>
                <c:pt idx="176">
                  <c:v>167</c:v>
                </c:pt>
                <c:pt idx="177">
                  <c:v>1029</c:v>
                </c:pt>
                <c:pt idx="178">
                  <c:v>1007</c:v>
                </c:pt>
                <c:pt idx="179">
                  <c:v>209</c:v>
                </c:pt>
                <c:pt idx="180">
                  <c:v>-160</c:v>
                </c:pt>
                <c:pt idx="181">
                  <c:v>-175</c:v>
                </c:pt>
                <c:pt idx="182">
                  <c:v>53</c:v>
                </c:pt>
                <c:pt idx="183">
                  <c:v>145</c:v>
                </c:pt>
                <c:pt idx="184">
                  <c:v>603</c:v>
                </c:pt>
                <c:pt idx="185">
                  <c:v>1045</c:v>
                </c:pt>
                <c:pt idx="186">
                  <c:v>759</c:v>
                </c:pt>
                <c:pt idx="187">
                  <c:v>1633</c:v>
                </c:pt>
                <c:pt idx="188">
                  <c:v>1539</c:v>
                </c:pt>
                <c:pt idx="189">
                  <c:v>453</c:v>
                </c:pt>
                <c:pt idx="190">
                  <c:v>948</c:v>
                </c:pt>
                <c:pt idx="191">
                  <c:v>637</c:v>
                </c:pt>
                <c:pt idx="192">
                  <c:v>1881</c:v>
                </c:pt>
                <c:pt idx="193">
                  <c:v>339</c:v>
                </c:pt>
                <c:pt idx="194">
                  <c:v>1510</c:v>
                </c:pt>
                <c:pt idx="195">
                  <c:v>864</c:v>
                </c:pt>
                <c:pt idx="196">
                  <c:v>1656</c:v>
                </c:pt>
                <c:pt idx="197">
                  <c:v>407</c:v>
                </c:pt>
                <c:pt idx="198">
                  <c:v>269</c:v>
                </c:pt>
                <c:pt idx="199">
                  <c:v>-337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7E-4420-ADCC-CC4869D31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589776"/>
        <c:axId val="1996607056"/>
      </c:scatterChart>
      <c:valAx>
        <c:axId val="199658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607056"/>
        <c:crosses val="autoZero"/>
        <c:crossBetween val="midCat"/>
      </c:valAx>
      <c:valAx>
        <c:axId val="199660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58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'6.3&amp;6.4'!$P$3</c:f>
              <c:strCache>
                <c:ptCount val="1"/>
                <c:pt idx="0">
                  <c:v>Follower_Gain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movingAvg"/>
            <c:period val="6"/>
            <c:dispRSqr val="0"/>
            <c:dispEq val="0"/>
          </c:trendline>
          <c:cat>
            <c:numRef>
              <c:f>'6.3&amp;6.4'!$O$4:$O$203</c:f>
              <c:numCache>
                <c:formatCode>m/d/yyyy</c:formatCode>
                <c:ptCount val="200"/>
                <c:pt idx="0">
                  <c:v>45446</c:v>
                </c:pt>
                <c:pt idx="1">
                  <c:v>45446</c:v>
                </c:pt>
                <c:pt idx="2">
                  <c:v>45446</c:v>
                </c:pt>
                <c:pt idx="3">
                  <c:v>45446</c:v>
                </c:pt>
                <c:pt idx="4">
                  <c:v>45453</c:v>
                </c:pt>
                <c:pt idx="5">
                  <c:v>45453</c:v>
                </c:pt>
                <c:pt idx="6">
                  <c:v>45453</c:v>
                </c:pt>
                <c:pt idx="7">
                  <c:v>45453</c:v>
                </c:pt>
                <c:pt idx="8">
                  <c:v>45460</c:v>
                </c:pt>
                <c:pt idx="9">
                  <c:v>45460</c:v>
                </c:pt>
                <c:pt idx="10">
                  <c:v>45460</c:v>
                </c:pt>
                <c:pt idx="11">
                  <c:v>45460</c:v>
                </c:pt>
                <c:pt idx="12">
                  <c:v>45467</c:v>
                </c:pt>
                <c:pt idx="13">
                  <c:v>45467</c:v>
                </c:pt>
                <c:pt idx="14">
                  <c:v>45467</c:v>
                </c:pt>
                <c:pt idx="15">
                  <c:v>45467</c:v>
                </c:pt>
                <c:pt idx="16">
                  <c:v>45474</c:v>
                </c:pt>
                <c:pt idx="17">
                  <c:v>45474</c:v>
                </c:pt>
                <c:pt idx="18">
                  <c:v>45474</c:v>
                </c:pt>
                <c:pt idx="19">
                  <c:v>45474</c:v>
                </c:pt>
                <c:pt idx="20">
                  <c:v>45481</c:v>
                </c:pt>
                <c:pt idx="21">
                  <c:v>45481</c:v>
                </c:pt>
                <c:pt idx="22">
                  <c:v>45481</c:v>
                </c:pt>
                <c:pt idx="23">
                  <c:v>45481</c:v>
                </c:pt>
                <c:pt idx="24">
                  <c:v>45488</c:v>
                </c:pt>
                <c:pt idx="25">
                  <c:v>45488</c:v>
                </c:pt>
                <c:pt idx="26">
                  <c:v>45488</c:v>
                </c:pt>
                <c:pt idx="27">
                  <c:v>45488</c:v>
                </c:pt>
                <c:pt idx="28">
                  <c:v>45495</c:v>
                </c:pt>
                <c:pt idx="29">
                  <c:v>45495</c:v>
                </c:pt>
                <c:pt idx="30">
                  <c:v>45495</c:v>
                </c:pt>
                <c:pt idx="31">
                  <c:v>45495</c:v>
                </c:pt>
                <c:pt idx="32">
                  <c:v>45502</c:v>
                </c:pt>
                <c:pt idx="33">
                  <c:v>45502</c:v>
                </c:pt>
                <c:pt idx="34">
                  <c:v>45502</c:v>
                </c:pt>
                <c:pt idx="35">
                  <c:v>45502</c:v>
                </c:pt>
                <c:pt idx="36">
                  <c:v>45509</c:v>
                </c:pt>
                <c:pt idx="37">
                  <c:v>45509</c:v>
                </c:pt>
                <c:pt idx="38">
                  <c:v>45509</c:v>
                </c:pt>
                <c:pt idx="39">
                  <c:v>45509</c:v>
                </c:pt>
                <c:pt idx="40">
                  <c:v>45516</c:v>
                </c:pt>
                <c:pt idx="41">
                  <c:v>45516</c:v>
                </c:pt>
                <c:pt idx="42">
                  <c:v>45516</c:v>
                </c:pt>
                <c:pt idx="43">
                  <c:v>45516</c:v>
                </c:pt>
                <c:pt idx="44">
                  <c:v>45523</c:v>
                </c:pt>
                <c:pt idx="45">
                  <c:v>45523</c:v>
                </c:pt>
                <c:pt idx="46">
                  <c:v>45523</c:v>
                </c:pt>
                <c:pt idx="47">
                  <c:v>45523</c:v>
                </c:pt>
                <c:pt idx="48">
                  <c:v>45530</c:v>
                </c:pt>
                <c:pt idx="49">
                  <c:v>45530</c:v>
                </c:pt>
                <c:pt idx="50">
                  <c:v>45530</c:v>
                </c:pt>
                <c:pt idx="51">
                  <c:v>45530</c:v>
                </c:pt>
                <c:pt idx="52">
                  <c:v>45537</c:v>
                </c:pt>
                <c:pt idx="53">
                  <c:v>45537</c:v>
                </c:pt>
                <c:pt idx="54">
                  <c:v>45537</c:v>
                </c:pt>
                <c:pt idx="55">
                  <c:v>45537</c:v>
                </c:pt>
                <c:pt idx="56">
                  <c:v>45544</c:v>
                </c:pt>
                <c:pt idx="57">
                  <c:v>45544</c:v>
                </c:pt>
                <c:pt idx="58">
                  <c:v>45544</c:v>
                </c:pt>
                <c:pt idx="59">
                  <c:v>45544</c:v>
                </c:pt>
                <c:pt idx="60">
                  <c:v>45551</c:v>
                </c:pt>
                <c:pt idx="61">
                  <c:v>45551</c:v>
                </c:pt>
                <c:pt idx="62">
                  <c:v>45551</c:v>
                </c:pt>
                <c:pt idx="63">
                  <c:v>45551</c:v>
                </c:pt>
                <c:pt idx="64">
                  <c:v>45558</c:v>
                </c:pt>
                <c:pt idx="65">
                  <c:v>45558</c:v>
                </c:pt>
                <c:pt idx="66">
                  <c:v>45558</c:v>
                </c:pt>
                <c:pt idx="67">
                  <c:v>45558</c:v>
                </c:pt>
                <c:pt idx="68">
                  <c:v>45565</c:v>
                </c:pt>
                <c:pt idx="69">
                  <c:v>45565</c:v>
                </c:pt>
                <c:pt idx="70">
                  <c:v>45565</c:v>
                </c:pt>
                <c:pt idx="71">
                  <c:v>45565</c:v>
                </c:pt>
                <c:pt idx="72">
                  <c:v>45572</c:v>
                </c:pt>
                <c:pt idx="73">
                  <c:v>45572</c:v>
                </c:pt>
                <c:pt idx="74">
                  <c:v>45572</c:v>
                </c:pt>
                <c:pt idx="75">
                  <c:v>45572</c:v>
                </c:pt>
                <c:pt idx="76">
                  <c:v>45579</c:v>
                </c:pt>
                <c:pt idx="77">
                  <c:v>45579</c:v>
                </c:pt>
                <c:pt idx="78">
                  <c:v>45579</c:v>
                </c:pt>
                <c:pt idx="79">
                  <c:v>45579</c:v>
                </c:pt>
                <c:pt idx="80">
                  <c:v>45586</c:v>
                </c:pt>
                <c:pt idx="81">
                  <c:v>45586</c:v>
                </c:pt>
                <c:pt idx="82">
                  <c:v>45586</c:v>
                </c:pt>
                <c:pt idx="83">
                  <c:v>45586</c:v>
                </c:pt>
                <c:pt idx="84">
                  <c:v>45593</c:v>
                </c:pt>
                <c:pt idx="85">
                  <c:v>45593</c:v>
                </c:pt>
                <c:pt idx="86">
                  <c:v>45593</c:v>
                </c:pt>
                <c:pt idx="87">
                  <c:v>45593</c:v>
                </c:pt>
                <c:pt idx="88">
                  <c:v>45600</c:v>
                </c:pt>
                <c:pt idx="89">
                  <c:v>45600</c:v>
                </c:pt>
                <c:pt idx="90">
                  <c:v>45600</c:v>
                </c:pt>
                <c:pt idx="91">
                  <c:v>45600</c:v>
                </c:pt>
                <c:pt idx="92">
                  <c:v>45607</c:v>
                </c:pt>
                <c:pt idx="93">
                  <c:v>45607</c:v>
                </c:pt>
                <c:pt idx="94">
                  <c:v>45607</c:v>
                </c:pt>
                <c:pt idx="95">
                  <c:v>45607</c:v>
                </c:pt>
                <c:pt idx="96">
                  <c:v>45614</c:v>
                </c:pt>
                <c:pt idx="97">
                  <c:v>45614</c:v>
                </c:pt>
                <c:pt idx="98">
                  <c:v>45614</c:v>
                </c:pt>
                <c:pt idx="99">
                  <c:v>45614</c:v>
                </c:pt>
                <c:pt idx="100">
                  <c:v>45621</c:v>
                </c:pt>
                <c:pt idx="101">
                  <c:v>45621</c:v>
                </c:pt>
                <c:pt idx="102">
                  <c:v>45621</c:v>
                </c:pt>
                <c:pt idx="103">
                  <c:v>45621</c:v>
                </c:pt>
                <c:pt idx="104">
                  <c:v>45628</c:v>
                </c:pt>
                <c:pt idx="105">
                  <c:v>45628</c:v>
                </c:pt>
                <c:pt idx="106">
                  <c:v>45628</c:v>
                </c:pt>
                <c:pt idx="107">
                  <c:v>45628</c:v>
                </c:pt>
                <c:pt idx="108">
                  <c:v>45635</c:v>
                </c:pt>
                <c:pt idx="109">
                  <c:v>45635</c:v>
                </c:pt>
                <c:pt idx="110">
                  <c:v>45635</c:v>
                </c:pt>
                <c:pt idx="111">
                  <c:v>45635</c:v>
                </c:pt>
                <c:pt idx="112">
                  <c:v>45642</c:v>
                </c:pt>
                <c:pt idx="113">
                  <c:v>45642</c:v>
                </c:pt>
                <c:pt idx="114">
                  <c:v>45642</c:v>
                </c:pt>
                <c:pt idx="115">
                  <c:v>45642</c:v>
                </c:pt>
                <c:pt idx="116">
                  <c:v>45649</c:v>
                </c:pt>
                <c:pt idx="117">
                  <c:v>45649</c:v>
                </c:pt>
                <c:pt idx="118">
                  <c:v>45649</c:v>
                </c:pt>
                <c:pt idx="119">
                  <c:v>45649</c:v>
                </c:pt>
                <c:pt idx="120">
                  <c:v>45656</c:v>
                </c:pt>
                <c:pt idx="121">
                  <c:v>45656</c:v>
                </c:pt>
                <c:pt idx="122">
                  <c:v>45656</c:v>
                </c:pt>
                <c:pt idx="123">
                  <c:v>45656</c:v>
                </c:pt>
                <c:pt idx="124">
                  <c:v>45663</c:v>
                </c:pt>
                <c:pt idx="125">
                  <c:v>45663</c:v>
                </c:pt>
                <c:pt idx="126">
                  <c:v>45663</c:v>
                </c:pt>
                <c:pt idx="127">
                  <c:v>45663</c:v>
                </c:pt>
                <c:pt idx="128">
                  <c:v>45670</c:v>
                </c:pt>
                <c:pt idx="129">
                  <c:v>45670</c:v>
                </c:pt>
                <c:pt idx="130">
                  <c:v>45670</c:v>
                </c:pt>
                <c:pt idx="131">
                  <c:v>45670</c:v>
                </c:pt>
                <c:pt idx="132">
                  <c:v>45677</c:v>
                </c:pt>
                <c:pt idx="133">
                  <c:v>45677</c:v>
                </c:pt>
                <c:pt idx="134">
                  <c:v>45677</c:v>
                </c:pt>
                <c:pt idx="135">
                  <c:v>45677</c:v>
                </c:pt>
                <c:pt idx="136">
                  <c:v>45684</c:v>
                </c:pt>
                <c:pt idx="137">
                  <c:v>45684</c:v>
                </c:pt>
                <c:pt idx="138">
                  <c:v>45684</c:v>
                </c:pt>
                <c:pt idx="139">
                  <c:v>45684</c:v>
                </c:pt>
                <c:pt idx="140">
                  <c:v>45691</c:v>
                </c:pt>
                <c:pt idx="141">
                  <c:v>45691</c:v>
                </c:pt>
                <c:pt idx="142">
                  <c:v>45691</c:v>
                </c:pt>
                <c:pt idx="143">
                  <c:v>45691</c:v>
                </c:pt>
                <c:pt idx="144">
                  <c:v>45698</c:v>
                </c:pt>
                <c:pt idx="145">
                  <c:v>45698</c:v>
                </c:pt>
                <c:pt idx="146">
                  <c:v>45698</c:v>
                </c:pt>
                <c:pt idx="147">
                  <c:v>45698</c:v>
                </c:pt>
                <c:pt idx="148">
                  <c:v>45705</c:v>
                </c:pt>
                <c:pt idx="149">
                  <c:v>45705</c:v>
                </c:pt>
                <c:pt idx="150">
                  <c:v>45705</c:v>
                </c:pt>
                <c:pt idx="151">
                  <c:v>45705</c:v>
                </c:pt>
                <c:pt idx="152">
                  <c:v>45712</c:v>
                </c:pt>
                <c:pt idx="153">
                  <c:v>45712</c:v>
                </c:pt>
                <c:pt idx="154">
                  <c:v>45712</c:v>
                </c:pt>
                <c:pt idx="155">
                  <c:v>45712</c:v>
                </c:pt>
                <c:pt idx="156">
                  <c:v>45719</c:v>
                </c:pt>
                <c:pt idx="157">
                  <c:v>45719</c:v>
                </c:pt>
                <c:pt idx="158">
                  <c:v>45719</c:v>
                </c:pt>
                <c:pt idx="159">
                  <c:v>45719</c:v>
                </c:pt>
                <c:pt idx="160">
                  <c:v>45726</c:v>
                </c:pt>
                <c:pt idx="161">
                  <c:v>45726</c:v>
                </c:pt>
                <c:pt idx="162">
                  <c:v>45726</c:v>
                </c:pt>
                <c:pt idx="163">
                  <c:v>45726</c:v>
                </c:pt>
                <c:pt idx="164">
                  <c:v>45733</c:v>
                </c:pt>
                <c:pt idx="165">
                  <c:v>45733</c:v>
                </c:pt>
                <c:pt idx="166">
                  <c:v>45733</c:v>
                </c:pt>
                <c:pt idx="167">
                  <c:v>45733</c:v>
                </c:pt>
                <c:pt idx="168">
                  <c:v>45740</c:v>
                </c:pt>
                <c:pt idx="169">
                  <c:v>45740</c:v>
                </c:pt>
                <c:pt idx="170">
                  <c:v>45740</c:v>
                </c:pt>
                <c:pt idx="171">
                  <c:v>45740</c:v>
                </c:pt>
                <c:pt idx="172">
                  <c:v>45747</c:v>
                </c:pt>
                <c:pt idx="173">
                  <c:v>45747</c:v>
                </c:pt>
                <c:pt idx="174">
                  <c:v>45747</c:v>
                </c:pt>
                <c:pt idx="175">
                  <c:v>45747</c:v>
                </c:pt>
                <c:pt idx="176">
                  <c:v>45754</c:v>
                </c:pt>
                <c:pt idx="177">
                  <c:v>45754</c:v>
                </c:pt>
                <c:pt idx="178">
                  <c:v>45754</c:v>
                </c:pt>
                <c:pt idx="179">
                  <c:v>45754</c:v>
                </c:pt>
                <c:pt idx="180">
                  <c:v>45761</c:v>
                </c:pt>
                <c:pt idx="181">
                  <c:v>45761</c:v>
                </c:pt>
                <c:pt idx="182">
                  <c:v>45761</c:v>
                </c:pt>
                <c:pt idx="183">
                  <c:v>45761</c:v>
                </c:pt>
                <c:pt idx="184">
                  <c:v>45768</c:v>
                </c:pt>
                <c:pt idx="185">
                  <c:v>45768</c:v>
                </c:pt>
                <c:pt idx="186">
                  <c:v>45768</c:v>
                </c:pt>
                <c:pt idx="187">
                  <c:v>45768</c:v>
                </c:pt>
                <c:pt idx="188">
                  <c:v>45775</c:v>
                </c:pt>
                <c:pt idx="189">
                  <c:v>45775</c:v>
                </c:pt>
                <c:pt idx="190">
                  <c:v>45775</c:v>
                </c:pt>
                <c:pt idx="191">
                  <c:v>45775</c:v>
                </c:pt>
                <c:pt idx="192">
                  <c:v>45782</c:v>
                </c:pt>
                <c:pt idx="193">
                  <c:v>45782</c:v>
                </c:pt>
                <c:pt idx="194">
                  <c:v>45782</c:v>
                </c:pt>
                <c:pt idx="195">
                  <c:v>45782</c:v>
                </c:pt>
                <c:pt idx="196">
                  <c:v>45789</c:v>
                </c:pt>
                <c:pt idx="197">
                  <c:v>45789</c:v>
                </c:pt>
                <c:pt idx="198">
                  <c:v>45789</c:v>
                </c:pt>
                <c:pt idx="199">
                  <c:v>45789</c:v>
                </c:pt>
              </c:numCache>
            </c:numRef>
          </c:cat>
          <c:val>
            <c:numRef>
              <c:f>'6.3&amp;6.4'!$P$4:$P$203</c:f>
              <c:numCache>
                <c:formatCode>General</c:formatCode>
                <c:ptCount val="200"/>
                <c:pt idx="0">
                  <c:v>1047</c:v>
                </c:pt>
                <c:pt idx="1">
                  <c:v>1002</c:v>
                </c:pt>
                <c:pt idx="2">
                  <c:v>415</c:v>
                </c:pt>
                <c:pt idx="3">
                  <c:v>1090</c:v>
                </c:pt>
                <c:pt idx="4">
                  <c:v>517</c:v>
                </c:pt>
                <c:pt idx="5">
                  <c:v>1283</c:v>
                </c:pt>
                <c:pt idx="6">
                  <c:v>186</c:v>
                </c:pt>
                <c:pt idx="7">
                  <c:v>994</c:v>
                </c:pt>
                <c:pt idx="8">
                  <c:v>893</c:v>
                </c:pt>
                <c:pt idx="9">
                  <c:v>1382</c:v>
                </c:pt>
                <c:pt idx="10">
                  <c:v>1295</c:v>
                </c:pt>
                <c:pt idx="11">
                  <c:v>337</c:v>
                </c:pt>
                <c:pt idx="12">
                  <c:v>629</c:v>
                </c:pt>
                <c:pt idx="13">
                  <c:v>1670</c:v>
                </c:pt>
                <c:pt idx="14">
                  <c:v>835</c:v>
                </c:pt>
                <c:pt idx="15">
                  <c:v>-123</c:v>
                </c:pt>
                <c:pt idx="16">
                  <c:v>-219</c:v>
                </c:pt>
                <c:pt idx="17">
                  <c:v>64</c:v>
                </c:pt>
                <c:pt idx="18">
                  <c:v>1357</c:v>
                </c:pt>
                <c:pt idx="19">
                  <c:v>91</c:v>
                </c:pt>
                <c:pt idx="20">
                  <c:v>1672</c:v>
                </c:pt>
                <c:pt idx="21">
                  <c:v>309</c:v>
                </c:pt>
                <c:pt idx="22">
                  <c:v>547</c:v>
                </c:pt>
                <c:pt idx="23">
                  <c:v>514</c:v>
                </c:pt>
                <c:pt idx="24">
                  <c:v>1845</c:v>
                </c:pt>
                <c:pt idx="25">
                  <c:v>-164</c:v>
                </c:pt>
                <c:pt idx="26">
                  <c:v>429</c:v>
                </c:pt>
                <c:pt idx="27">
                  <c:v>160</c:v>
                </c:pt>
                <c:pt idx="28">
                  <c:v>159</c:v>
                </c:pt>
                <c:pt idx="29">
                  <c:v>961</c:v>
                </c:pt>
                <c:pt idx="30">
                  <c:v>1316</c:v>
                </c:pt>
                <c:pt idx="31">
                  <c:v>317</c:v>
                </c:pt>
                <c:pt idx="32">
                  <c:v>541</c:v>
                </c:pt>
                <c:pt idx="33">
                  <c:v>-318</c:v>
                </c:pt>
                <c:pt idx="34">
                  <c:v>1495</c:v>
                </c:pt>
                <c:pt idx="35">
                  <c:v>475</c:v>
                </c:pt>
                <c:pt idx="36">
                  <c:v>352</c:v>
                </c:pt>
                <c:pt idx="37">
                  <c:v>-197</c:v>
                </c:pt>
                <c:pt idx="38">
                  <c:v>328</c:v>
                </c:pt>
                <c:pt idx="39">
                  <c:v>319</c:v>
                </c:pt>
                <c:pt idx="40">
                  <c:v>1325</c:v>
                </c:pt>
                <c:pt idx="41">
                  <c:v>1334</c:v>
                </c:pt>
                <c:pt idx="42">
                  <c:v>37</c:v>
                </c:pt>
                <c:pt idx="43">
                  <c:v>1032</c:v>
                </c:pt>
                <c:pt idx="44">
                  <c:v>76</c:v>
                </c:pt>
                <c:pt idx="45">
                  <c:v>1058</c:v>
                </c:pt>
                <c:pt idx="46">
                  <c:v>1665</c:v>
                </c:pt>
                <c:pt idx="47">
                  <c:v>190</c:v>
                </c:pt>
                <c:pt idx="48">
                  <c:v>1609</c:v>
                </c:pt>
                <c:pt idx="49">
                  <c:v>37</c:v>
                </c:pt>
                <c:pt idx="50">
                  <c:v>1229</c:v>
                </c:pt>
                <c:pt idx="51">
                  <c:v>28</c:v>
                </c:pt>
                <c:pt idx="52">
                  <c:v>1247</c:v>
                </c:pt>
                <c:pt idx="53">
                  <c:v>1045</c:v>
                </c:pt>
                <c:pt idx="54">
                  <c:v>197</c:v>
                </c:pt>
                <c:pt idx="55">
                  <c:v>333</c:v>
                </c:pt>
                <c:pt idx="56">
                  <c:v>1572</c:v>
                </c:pt>
                <c:pt idx="57">
                  <c:v>1428</c:v>
                </c:pt>
                <c:pt idx="58">
                  <c:v>260</c:v>
                </c:pt>
                <c:pt idx="59">
                  <c:v>1100</c:v>
                </c:pt>
                <c:pt idx="60">
                  <c:v>377</c:v>
                </c:pt>
                <c:pt idx="61">
                  <c:v>98</c:v>
                </c:pt>
                <c:pt idx="62">
                  <c:v>1125</c:v>
                </c:pt>
                <c:pt idx="63">
                  <c:v>-32</c:v>
                </c:pt>
                <c:pt idx="64">
                  <c:v>666</c:v>
                </c:pt>
                <c:pt idx="65">
                  <c:v>-19</c:v>
                </c:pt>
                <c:pt idx="66">
                  <c:v>1680</c:v>
                </c:pt>
                <c:pt idx="67">
                  <c:v>1006</c:v>
                </c:pt>
                <c:pt idx="68">
                  <c:v>1025</c:v>
                </c:pt>
                <c:pt idx="69">
                  <c:v>-179</c:v>
                </c:pt>
                <c:pt idx="70">
                  <c:v>599</c:v>
                </c:pt>
                <c:pt idx="71">
                  <c:v>1706</c:v>
                </c:pt>
                <c:pt idx="72">
                  <c:v>1872</c:v>
                </c:pt>
                <c:pt idx="73">
                  <c:v>1662</c:v>
                </c:pt>
                <c:pt idx="74">
                  <c:v>107</c:v>
                </c:pt>
                <c:pt idx="75">
                  <c:v>118</c:v>
                </c:pt>
                <c:pt idx="76">
                  <c:v>1224</c:v>
                </c:pt>
                <c:pt idx="77">
                  <c:v>285</c:v>
                </c:pt>
                <c:pt idx="78">
                  <c:v>-20</c:v>
                </c:pt>
                <c:pt idx="79">
                  <c:v>367</c:v>
                </c:pt>
                <c:pt idx="80">
                  <c:v>262</c:v>
                </c:pt>
                <c:pt idx="81">
                  <c:v>439</c:v>
                </c:pt>
                <c:pt idx="82">
                  <c:v>636</c:v>
                </c:pt>
                <c:pt idx="83">
                  <c:v>1484</c:v>
                </c:pt>
                <c:pt idx="84">
                  <c:v>576</c:v>
                </c:pt>
                <c:pt idx="85">
                  <c:v>386</c:v>
                </c:pt>
                <c:pt idx="86">
                  <c:v>37</c:v>
                </c:pt>
                <c:pt idx="87">
                  <c:v>1657</c:v>
                </c:pt>
                <c:pt idx="88">
                  <c:v>1397</c:v>
                </c:pt>
                <c:pt idx="89">
                  <c:v>540</c:v>
                </c:pt>
                <c:pt idx="90">
                  <c:v>1603</c:v>
                </c:pt>
                <c:pt idx="91">
                  <c:v>1044</c:v>
                </c:pt>
                <c:pt idx="92">
                  <c:v>902</c:v>
                </c:pt>
                <c:pt idx="93">
                  <c:v>-106</c:v>
                </c:pt>
                <c:pt idx="94">
                  <c:v>1150</c:v>
                </c:pt>
                <c:pt idx="95">
                  <c:v>349</c:v>
                </c:pt>
                <c:pt idx="96">
                  <c:v>-49</c:v>
                </c:pt>
                <c:pt idx="97">
                  <c:v>72</c:v>
                </c:pt>
                <c:pt idx="98">
                  <c:v>445</c:v>
                </c:pt>
                <c:pt idx="99">
                  <c:v>60</c:v>
                </c:pt>
                <c:pt idx="100">
                  <c:v>1693</c:v>
                </c:pt>
                <c:pt idx="101">
                  <c:v>1332</c:v>
                </c:pt>
                <c:pt idx="102">
                  <c:v>98</c:v>
                </c:pt>
                <c:pt idx="103">
                  <c:v>885</c:v>
                </c:pt>
                <c:pt idx="104">
                  <c:v>1625</c:v>
                </c:pt>
                <c:pt idx="105">
                  <c:v>1706</c:v>
                </c:pt>
                <c:pt idx="106">
                  <c:v>1173</c:v>
                </c:pt>
                <c:pt idx="107">
                  <c:v>291</c:v>
                </c:pt>
                <c:pt idx="108">
                  <c:v>1119</c:v>
                </c:pt>
                <c:pt idx="109">
                  <c:v>1373</c:v>
                </c:pt>
                <c:pt idx="110">
                  <c:v>1727</c:v>
                </c:pt>
                <c:pt idx="111">
                  <c:v>573</c:v>
                </c:pt>
                <c:pt idx="112">
                  <c:v>1432</c:v>
                </c:pt>
                <c:pt idx="113">
                  <c:v>1377</c:v>
                </c:pt>
                <c:pt idx="114">
                  <c:v>1359</c:v>
                </c:pt>
                <c:pt idx="115">
                  <c:v>876</c:v>
                </c:pt>
                <c:pt idx="116">
                  <c:v>684</c:v>
                </c:pt>
                <c:pt idx="117">
                  <c:v>730</c:v>
                </c:pt>
                <c:pt idx="118">
                  <c:v>911</c:v>
                </c:pt>
                <c:pt idx="119">
                  <c:v>1589</c:v>
                </c:pt>
                <c:pt idx="120">
                  <c:v>1765</c:v>
                </c:pt>
                <c:pt idx="121">
                  <c:v>1776</c:v>
                </c:pt>
                <c:pt idx="122">
                  <c:v>1529</c:v>
                </c:pt>
                <c:pt idx="123">
                  <c:v>1460</c:v>
                </c:pt>
                <c:pt idx="124">
                  <c:v>903</c:v>
                </c:pt>
                <c:pt idx="125">
                  <c:v>620</c:v>
                </c:pt>
                <c:pt idx="126">
                  <c:v>1188</c:v>
                </c:pt>
                <c:pt idx="127">
                  <c:v>846</c:v>
                </c:pt>
                <c:pt idx="128">
                  <c:v>1722</c:v>
                </c:pt>
                <c:pt idx="129">
                  <c:v>298</c:v>
                </c:pt>
                <c:pt idx="130">
                  <c:v>-144</c:v>
                </c:pt>
                <c:pt idx="131">
                  <c:v>901</c:v>
                </c:pt>
                <c:pt idx="132">
                  <c:v>1572</c:v>
                </c:pt>
                <c:pt idx="133">
                  <c:v>427</c:v>
                </c:pt>
                <c:pt idx="134">
                  <c:v>891</c:v>
                </c:pt>
                <c:pt idx="135">
                  <c:v>724</c:v>
                </c:pt>
                <c:pt idx="136">
                  <c:v>-166</c:v>
                </c:pt>
                <c:pt idx="137">
                  <c:v>898</c:v>
                </c:pt>
                <c:pt idx="138">
                  <c:v>1426</c:v>
                </c:pt>
                <c:pt idx="139">
                  <c:v>1225</c:v>
                </c:pt>
                <c:pt idx="140">
                  <c:v>1080</c:v>
                </c:pt>
                <c:pt idx="141">
                  <c:v>748</c:v>
                </c:pt>
                <c:pt idx="142">
                  <c:v>569</c:v>
                </c:pt>
                <c:pt idx="143">
                  <c:v>-203</c:v>
                </c:pt>
                <c:pt idx="144">
                  <c:v>1723</c:v>
                </c:pt>
                <c:pt idx="145">
                  <c:v>912</c:v>
                </c:pt>
                <c:pt idx="146">
                  <c:v>1202</c:v>
                </c:pt>
                <c:pt idx="147">
                  <c:v>1444</c:v>
                </c:pt>
                <c:pt idx="148">
                  <c:v>965</c:v>
                </c:pt>
                <c:pt idx="149">
                  <c:v>1590</c:v>
                </c:pt>
                <c:pt idx="150">
                  <c:v>-37</c:v>
                </c:pt>
                <c:pt idx="151">
                  <c:v>1175</c:v>
                </c:pt>
                <c:pt idx="152">
                  <c:v>1375</c:v>
                </c:pt>
                <c:pt idx="153">
                  <c:v>1707</c:v>
                </c:pt>
                <c:pt idx="154">
                  <c:v>708</c:v>
                </c:pt>
                <c:pt idx="155">
                  <c:v>1016</c:v>
                </c:pt>
                <c:pt idx="156">
                  <c:v>1315</c:v>
                </c:pt>
                <c:pt idx="157">
                  <c:v>-119</c:v>
                </c:pt>
                <c:pt idx="158">
                  <c:v>899</c:v>
                </c:pt>
                <c:pt idx="159">
                  <c:v>315</c:v>
                </c:pt>
                <c:pt idx="160">
                  <c:v>212</c:v>
                </c:pt>
                <c:pt idx="161">
                  <c:v>908</c:v>
                </c:pt>
                <c:pt idx="162">
                  <c:v>1350</c:v>
                </c:pt>
                <c:pt idx="163">
                  <c:v>1242</c:v>
                </c:pt>
                <c:pt idx="164">
                  <c:v>680</c:v>
                </c:pt>
                <c:pt idx="165">
                  <c:v>1116</c:v>
                </c:pt>
                <c:pt idx="166">
                  <c:v>861</c:v>
                </c:pt>
                <c:pt idx="167">
                  <c:v>1385</c:v>
                </c:pt>
                <c:pt idx="168">
                  <c:v>461</c:v>
                </c:pt>
                <c:pt idx="169">
                  <c:v>474</c:v>
                </c:pt>
                <c:pt idx="170">
                  <c:v>292</c:v>
                </c:pt>
                <c:pt idx="171">
                  <c:v>389</c:v>
                </c:pt>
                <c:pt idx="172">
                  <c:v>641</c:v>
                </c:pt>
                <c:pt idx="173">
                  <c:v>514</c:v>
                </c:pt>
                <c:pt idx="174">
                  <c:v>1676</c:v>
                </c:pt>
                <c:pt idx="175">
                  <c:v>1467</c:v>
                </c:pt>
                <c:pt idx="176">
                  <c:v>167</c:v>
                </c:pt>
                <c:pt idx="177">
                  <c:v>1029</c:v>
                </c:pt>
                <c:pt idx="178">
                  <c:v>1007</c:v>
                </c:pt>
                <c:pt idx="179">
                  <c:v>209</c:v>
                </c:pt>
                <c:pt idx="180">
                  <c:v>-160</c:v>
                </c:pt>
                <c:pt idx="181">
                  <c:v>-175</c:v>
                </c:pt>
                <c:pt idx="182">
                  <c:v>53</c:v>
                </c:pt>
                <c:pt idx="183">
                  <c:v>145</c:v>
                </c:pt>
                <c:pt idx="184">
                  <c:v>603</c:v>
                </c:pt>
                <c:pt idx="185">
                  <c:v>1045</c:v>
                </c:pt>
                <c:pt idx="186">
                  <c:v>759</c:v>
                </c:pt>
                <c:pt idx="187">
                  <c:v>1633</c:v>
                </c:pt>
                <c:pt idx="188">
                  <c:v>1539</c:v>
                </c:pt>
                <c:pt idx="189">
                  <c:v>453</c:v>
                </c:pt>
                <c:pt idx="190">
                  <c:v>948</c:v>
                </c:pt>
                <c:pt idx="191">
                  <c:v>637</c:v>
                </c:pt>
                <c:pt idx="192">
                  <c:v>1881</c:v>
                </c:pt>
                <c:pt idx="193">
                  <c:v>339</c:v>
                </c:pt>
                <c:pt idx="194">
                  <c:v>1510</c:v>
                </c:pt>
                <c:pt idx="195">
                  <c:v>864</c:v>
                </c:pt>
                <c:pt idx="196">
                  <c:v>1656</c:v>
                </c:pt>
                <c:pt idx="197">
                  <c:v>407</c:v>
                </c:pt>
                <c:pt idx="198">
                  <c:v>269</c:v>
                </c:pt>
                <c:pt idx="199">
                  <c:v>-337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98-4A10-8F24-8D18FC171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6586416"/>
        <c:axId val="1996590736"/>
      </c:lineChart>
      <c:dateAx>
        <c:axId val="19965864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590736"/>
        <c:crosses val="autoZero"/>
        <c:auto val="1"/>
        <c:lblOffset val="100"/>
        <c:baseTimeUnit val="days"/>
      </c:dateAx>
      <c:valAx>
        <c:axId val="19965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58641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 - Sol.xlsx]Task2.1&amp;2.2!PivotTable1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Engagement per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'Task2.1&amp;2.2'!$C$3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'Task2.1&amp;2.2'!$B$4:$B$8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'Task2.1&amp;2.2'!$C$4:$C$8</c:f>
              <c:numCache>
                <c:formatCode>0.00</c:formatCode>
                <c:ptCount val="4"/>
                <c:pt idx="0">
                  <c:v>55.518493272956349</c:v>
                </c:pt>
                <c:pt idx="1">
                  <c:v>122.3794583539991</c:v>
                </c:pt>
                <c:pt idx="2">
                  <c:v>99.363094191470083</c:v>
                </c:pt>
                <c:pt idx="3">
                  <c:v>72.471020367403852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3-445F-A034-FE91BBE748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31953792"/>
        <c:axId val="831954272"/>
      </c:barChart>
      <c:catAx>
        <c:axId val="8319537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954272"/>
        <c:crosses val="autoZero"/>
        <c:auto val="1"/>
        <c:lblAlgn val="ctr"/>
        <c:lblOffset val="100"/>
        <c:noMultiLvlLbl val="0"/>
      </c:catAx>
      <c:valAx>
        <c:axId val="831954272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83195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 - Sol.xlsx]Task 3.1&amp;3.2!PivotTable1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NetFollower GrowthRate</a:t>
            </a:r>
          </a:p>
        </c:rich>
      </c:tx>
      <c:layout>
        <c:manualLayout>
          <c:xMode val="edge"/>
          <c:yMode val="edge"/>
          <c:x val="0.1366280703516938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'Task 3.1&amp;3.2'!$M$3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14-4463-8E05-8CD21851C2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14-4463-8E05-8CD21851C2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14-4463-8E05-8CD21851C2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814-4463-8E05-8CD21851C20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'Task 3.1&amp;3.2'!$L$4:$L$8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3.1&amp;3.2'!$M$4:$M$8</c:f>
              <c:numCache>
                <c:formatCode>0.00%</c:formatCode>
                <c:ptCount val="4"/>
                <c:pt idx="0">
                  <c:v>5.4649906832972654E-3</c:v>
                </c:pt>
                <c:pt idx="1">
                  <c:v>5.7625321264951823E-3</c:v>
                </c:pt>
                <c:pt idx="2">
                  <c:v>9.2800256766213396E-3</c:v>
                </c:pt>
                <c:pt idx="3">
                  <c:v>9.021066631336009E-3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814-4463-8E05-8CD21851C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vs ad.spend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Task5.2!$D$3</c:f>
              <c:strCache>
                <c:ptCount val="1"/>
                <c:pt idx="0">
                  <c:v>Engagement per rupee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Task5.2!$A$4:$A$7</c:f>
              <c:strCache>
                <c:ptCount val="4"/>
                <c:pt idx="0">
                  <c:v>CybertruckLaunch</c:v>
                </c:pt>
                <c:pt idx="1">
                  <c:v>ModelYCampaign</c:v>
                </c:pt>
                <c:pt idx="2">
                  <c:v>FSDUpdate</c:v>
                </c:pt>
                <c:pt idx="3">
                  <c:v>SustainabilityDrive</c:v>
                </c:pt>
              </c:strCache>
            </c:strRef>
          </c:cat>
          <c:val>
            <c:numRef>
              <c:f>Task5.2!$D$4:$D$7</c:f>
              <c:numCache>
                <c:formatCode>0.000</c:formatCode>
                <c:ptCount val="4"/>
                <c:pt idx="0">
                  <c:v>1.2926666666666666</c:v>
                </c:pt>
                <c:pt idx="1">
                  <c:v>1.1686049999999999</c:v>
                </c:pt>
                <c:pt idx="2">
                  <c:v>1.030432</c:v>
                </c:pt>
                <c:pt idx="3">
                  <c:v>1.5491277777777779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6-48EA-B4C6-6E233FED9B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1887552"/>
        <c:axId val="831888512"/>
      </c:barChart>
      <c:catAx>
        <c:axId val="83188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888512"/>
        <c:crosses val="autoZero"/>
        <c:auto val="1"/>
        <c:lblAlgn val="ctr"/>
        <c:lblOffset val="100"/>
        <c:noMultiLvlLbl val="0"/>
      </c:catAx>
      <c:valAx>
        <c:axId val="831888512"/>
        <c:scaling>
          <c:orientation val="minMax"/>
        </c:scaling>
        <c:delete val="1"/>
        <c:axPos val="l"/>
        <c:numFmt formatCode="0.000" sourceLinked="1"/>
        <c:majorTickMark val="none"/>
        <c:minorTickMark val="none"/>
        <c:tickLblPos val="nextTo"/>
        <c:crossAx val="831887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Task5.2!$K$3</c:f>
              <c:strCache>
                <c:ptCount val="1"/>
                <c:pt idx="0">
                  <c:v>Follower Gain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7D-4F02-B84C-310173412F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7D-4F02-B84C-310173412F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7D-4F02-B84C-310173412F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87D-4F02-B84C-310173412F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Task5.2!$H$4:$H$7</c:f>
              <c:strCache>
                <c:ptCount val="4"/>
                <c:pt idx="0">
                  <c:v>CybertruckLaunch</c:v>
                </c:pt>
                <c:pt idx="1">
                  <c:v>ModelYCampaign</c:v>
                </c:pt>
                <c:pt idx="2">
                  <c:v>FSDUpdate</c:v>
                </c:pt>
                <c:pt idx="3">
                  <c:v>SustainabilityDrive</c:v>
                </c:pt>
              </c:strCache>
            </c:strRef>
          </c:cat>
          <c:val>
            <c:numRef>
              <c:f>Task5.2!$K$4:$K$7</c:f>
              <c:numCache>
                <c:formatCode>General</c:formatCode>
                <c:ptCount val="4"/>
                <c:pt idx="0">
                  <c:v>13523</c:v>
                </c:pt>
                <c:pt idx="1">
                  <c:v>11092</c:v>
                </c:pt>
                <c:pt idx="2">
                  <c:v>10087</c:v>
                </c:pt>
                <c:pt idx="3">
                  <c:v>16078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87D-4F02-B84C-310173412F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396240</xdr:colOff>
      <xdr:row>9</xdr:row>
      <xdr:rowOff>148590</xdr:rowOff>
    </xdr:from>
    <xdr:to>
      <xdr:col>5</xdr:col>
      <xdr:colOff>419100</xdr:colOff>
      <xdr:row>24</xdr:row>
      <xdr:rowOff>148590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030CDA-474B-477F-E1AE-637550FD6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281940</xdr:colOff>
      <xdr:row>2</xdr:row>
      <xdr:rowOff>15240</xdr:rowOff>
    </xdr:from>
    <xdr:to>
      <xdr:col>21</xdr:col>
      <xdr:colOff>91440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D9D6C5-B172-CE29-2157-D5D232093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220980</xdr:colOff>
      <xdr:row>23</xdr:row>
      <xdr:rowOff>0</xdr:rowOff>
    </xdr:from>
    <xdr:to>
      <xdr:col>11</xdr:col>
      <xdr:colOff>213360</xdr:colOff>
      <xdr:row>24</xdr:row>
      <xdr:rowOff>22860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C79DC5D-4867-C84D-F7AF-9C74A587B25B}"/>
            </a:ext>
          </a:extLst>
        </xdr:cNvPr>
        <xdr:cNvSpPr/>
      </xdr:nvSpPr>
      <xdr:spPr>
        <a:xfrm>
          <a:off x="6286500" y="4236720"/>
          <a:ext cx="3223260" cy="20574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297180</xdr:colOff>
      <xdr:row>23</xdr:row>
      <xdr:rowOff>7620</xdr:rowOff>
    </xdr:from>
    <xdr:to>
      <xdr:col>12</xdr:col>
      <xdr:colOff>411480</xdr:colOff>
      <xdr:row>24</xdr:row>
      <xdr:rowOff>30480</xdr:rowOff>
    </xdr:to>
    <xdr:sp macro="" textlink="">
      <xdr:nvSpPr>
        <xdr:cNvPr id="4" name="Arrow: Left 3">
          <a:extLst>
            <a:ext uri="{FF2B5EF4-FFF2-40B4-BE49-F238E27FC236}">
              <a16:creationId xmlns:a16="http://schemas.microsoft.com/office/drawing/2014/main" id="{A38BF5A7-DFDE-5104-30D2-6D19DCE25F00}"/>
            </a:ext>
          </a:extLst>
        </xdr:cNvPr>
        <xdr:cNvSpPr/>
      </xdr:nvSpPr>
      <xdr:spPr>
        <a:xfrm>
          <a:off x="9593580" y="4244340"/>
          <a:ext cx="723900" cy="20574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10</xdr:col>
      <xdr:colOff>487680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13FA2D-626F-4498-9C8E-29A2C5919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31</xdr:col>
      <xdr:colOff>495300</xdr:colOff>
      <xdr:row>17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15DF1A-1EAD-483F-938F-38F0B073F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6</xdr:col>
      <xdr:colOff>312420</xdr:colOff>
      <xdr:row>13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423310-5ADB-4E55-A10A-BA3D12BDA3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525780</xdr:colOff>
      <xdr:row>1</xdr:row>
      <xdr:rowOff>167640</xdr:rowOff>
    </xdr:from>
    <xdr:to>
      <xdr:col>12</xdr:col>
      <xdr:colOff>425334</xdr:colOff>
      <xdr:row>13</xdr:row>
      <xdr:rowOff>148244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E1D9DC-E2D1-4710-A194-DD881361A1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45720</xdr:colOff>
      <xdr:row>1</xdr:row>
      <xdr:rowOff>175260</xdr:rowOff>
    </xdr:from>
    <xdr:to>
      <xdr:col>18</xdr:col>
      <xdr:colOff>579120</xdr:colOff>
      <xdr:row>13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8C602E-EBDC-4671-BF74-A0249485C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594360</xdr:colOff>
      <xdr:row>14</xdr:row>
      <xdr:rowOff>83820</xdr:rowOff>
    </xdr:from>
    <xdr:to>
      <xdr:col>6</xdr:col>
      <xdr:colOff>312420</xdr:colOff>
      <xdr:row>27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A4DA7F-052A-4D83-891C-E9A4C1AC65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SHANK RACHA" refreshedDate="45936.642588078706" createdVersion="6" refreshedVersion="6" minRefreshableVersion="3" recordCount="300" xr:uid="{00000000-000A-0000-FFFF-FFFF08000000}">
  <cacheSource type="worksheet">
    <worksheetSource ref="A1:O301" sheet="Task 1.1"/>
  </cacheSource>
  <cacheFields count="15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 count="293">
        <n v="1461"/>
        <n v="4054"/>
        <n v="2795"/>
        <n v="2404"/>
        <n v="3557"/>
        <n v="2945"/>
        <n v="3860"/>
        <n v="3929"/>
        <n v="3784"/>
        <n v="4241"/>
        <n v="1792"/>
        <n v="1946"/>
        <n v="1171"/>
        <n v="4242"/>
        <n v="3888"/>
        <n v="3452"/>
        <n v="4441"/>
        <n v="3000"/>
        <n v="1071"/>
        <n v="4838"/>
        <n v="1570"/>
        <n v="1606"/>
        <n v="3961"/>
        <n v="3128"/>
        <n v="3009"/>
        <n v="2076"/>
        <n v="432"/>
        <n v="2566"/>
        <n v="3095"/>
        <n v="438"/>
        <n v="2278"/>
        <n v="1407"/>
        <n v="1652"/>
        <n v="3775"/>
        <n v="4518"/>
        <n v="3024"/>
        <n v="3138"/>
        <n v="3564"/>
        <n v="4750"/>
        <n v="456"/>
        <n v="1543"/>
        <n v="2174"/>
        <n v="2358"/>
        <n v="3371"/>
        <n v="1108"/>
        <n v="2704"/>
        <n v="1950"/>
        <n v="2164"/>
        <n v="2754"/>
        <n v="2200"/>
        <n v="947"/>
        <n v="804"/>
        <n v="1686"/>
        <n v="1226"/>
        <n v="2946"/>
        <n v="2825"/>
        <n v="103"/>
        <n v="2180"/>
        <n v="904"/>
        <n v="4886"/>
        <n v="53"/>
        <n v="4507"/>
        <n v="2878"/>
        <n v="1881"/>
        <n v="4712"/>
        <n v="2610"/>
        <n v="1292"/>
        <n v="199"/>
        <n v="2551"/>
        <n v="296"/>
        <n v="4126"/>
        <n v="1855"/>
        <n v="1674"/>
        <n v="1121"/>
        <n v="1249"/>
        <n v="954"/>
        <n v="3068"/>
        <n v="2103"/>
        <n v="1816"/>
        <n v="725"/>
        <n v="1094"/>
        <n v="1841"/>
        <n v="4177"/>
        <n v="3428"/>
        <n v="1436"/>
        <n v="302"/>
        <n v="2214"/>
        <n v="3861"/>
        <n v="1263"/>
        <n v="3801"/>
        <n v="1431"/>
        <n v="2647"/>
        <n v="3182"/>
        <n v="1238"/>
        <n v="4739"/>
        <n v="1575"/>
        <n v="4171"/>
        <n v="1766"/>
        <n v="4450"/>
        <n v="1000"/>
        <n v="3689"/>
        <n v="3655"/>
        <n v="498"/>
        <n v="4619"/>
        <n v="4832"/>
        <n v="4050"/>
        <n v="3649"/>
        <n v="3523"/>
        <n v="2719"/>
        <n v="1957"/>
        <n v="4419"/>
        <n v="4000"/>
        <n v="2493"/>
        <n v="3704"/>
        <n v="4551"/>
        <n v="1970"/>
        <n v="780"/>
        <n v="3432"/>
        <n v="4363"/>
        <n v="736"/>
        <n v="3811"/>
        <n v="4158"/>
        <n v="3092"/>
        <n v="2147"/>
        <n v="2936"/>
        <n v="4840"/>
        <n v="1947"/>
        <n v="2072"/>
        <n v="3731"/>
        <n v="4213"/>
        <n v="3134"/>
        <n v="3008"/>
        <n v="305"/>
        <n v="2746"/>
        <n v="2291"/>
        <n v="3170"/>
        <n v="2070"/>
        <n v="80"/>
        <n v="4929"/>
        <n v="1878"/>
        <n v="3065"/>
        <n v="3256"/>
        <n v="4133"/>
        <n v="1702"/>
        <n v="4295"/>
        <n v="3559"/>
        <n v="4804"/>
        <n v="754"/>
        <n v="985"/>
        <n v="2283"/>
        <n v="3352"/>
        <n v="4775"/>
        <n v="1762"/>
        <n v="2120"/>
        <n v="1082"/>
        <n v="4671"/>
        <n v="3430"/>
        <n v="4501"/>
        <n v="4934"/>
        <n v="3239"/>
        <n v="1076"/>
        <n v="4771"/>
        <n v="2418"/>
        <n v="3809"/>
        <n v="3577"/>
        <n v="1018"/>
        <n v="3073"/>
        <n v="1330"/>
        <n v="3828"/>
        <n v="142"/>
        <n v="3798"/>
        <n v="3099"/>
        <n v="129"/>
        <n v="3796"/>
        <n v="3711"/>
        <n v="606"/>
        <n v="4689"/>
        <n v="360"/>
        <n v="3215"/>
        <n v="4523"/>
        <n v="4292"/>
        <n v="1644"/>
        <n v="2728"/>
        <n v="3360"/>
        <n v="1963"/>
        <n v="4285"/>
        <n v="1176"/>
        <n v="4858"/>
        <n v="4350"/>
        <n v="914"/>
        <n v="1813"/>
        <n v="4782"/>
        <n v="1048"/>
        <n v="2509"/>
        <n v="3718"/>
        <n v="802"/>
        <n v="1871"/>
        <n v="3773"/>
        <n v="2234"/>
        <n v="3820"/>
        <n v="941"/>
        <n v="4274"/>
        <n v="2949"/>
        <n v="3160"/>
        <n v="257"/>
        <n v="3874"/>
        <n v="2696"/>
        <n v="521"/>
        <n v="4872"/>
        <n v="1509"/>
        <n v="4606"/>
        <n v="1869"/>
        <n v="1188"/>
        <n v="84"/>
        <n v="4453"/>
        <n v="1814"/>
        <n v="3338"/>
        <n v="602"/>
        <n v="4672"/>
        <n v="1741"/>
        <n v="246"/>
        <n v="4808"/>
        <n v="4799"/>
        <n v="3663"/>
        <n v="1430"/>
        <n v="249"/>
        <n v="2382"/>
        <n v="1272"/>
        <n v="3196"/>
        <n v="1257"/>
        <n v="3770"/>
        <n v="4725"/>
        <n v="4188"/>
        <n v="929"/>
        <n v="4321"/>
        <n v="4767"/>
        <n v="3592"/>
        <n v="4661"/>
        <n v="4134"/>
        <n v="400"/>
        <n v="3960"/>
        <n v="886"/>
        <n v="827"/>
        <n v="3813"/>
        <n v="1377"/>
        <n v="2089"/>
        <n v="3791"/>
        <n v="2692"/>
        <n v="3767"/>
        <n v="2143"/>
        <n v="3090"/>
        <n v="3601"/>
        <n v="562"/>
        <n v="4332"/>
        <n v="4853"/>
        <n v="1206"/>
        <n v="2603"/>
        <n v="59"/>
        <n v="1877"/>
        <n v="4182"/>
        <n v="4187"/>
        <n v="4579"/>
        <n v="4561"/>
        <n v="3774"/>
        <n v="3575"/>
        <n v="4941"/>
        <n v="3641"/>
        <n v="3535"/>
        <n v="1556"/>
        <n v="4236"/>
        <n v="4516"/>
        <n v="4905"/>
        <n v="4275"/>
        <n v="3166"/>
        <n v="1488"/>
        <n v="3367"/>
        <n v="571"/>
        <n v="4021"/>
        <n v="3389"/>
        <n v="1164"/>
        <n v="4780"/>
        <n v="2751"/>
        <n v="2107"/>
        <n v="4663"/>
        <n v="880"/>
        <n v="2634"/>
        <n v="4731"/>
        <n v="1952"/>
        <n v="3440"/>
        <n v="2166"/>
        <n v="4303"/>
        <n v="2581"/>
        <n v="4494"/>
      </sharedItems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.1" numFmtId="0">
      <sharedItems/>
    </cacheField>
    <cacheField name="Hashtags Used.2" numFmtId="0">
      <sharedItems containsBlank="1"/>
    </cacheField>
    <cacheField name="Hashtags Used.3" numFmtId="0">
      <sharedItems containsBlank="1"/>
    </cacheField>
    <cacheField name="Campaign_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SHANK RACHA" refreshedDate="45938.701984837964" createdVersion="8" refreshedVersion="8" minRefreshableVersion="3" recordCount="339" xr:uid="{159D524F-E2DB-477F-9B94-D733D71BD42D}">
  <cacheSource type="worksheet">
    <worksheetSource ref="A1:N340" sheet="Posts1"/>
  </cacheSource>
  <cacheFields count="14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Campaign_Name" numFmtId="0">
      <sharedItems/>
    </cacheField>
    <cacheField name="Engagement Rate" numFmtId="2">
      <sharedItems containsSemiMixedTypes="0" containsString="0" containsNumber="1" minValue="11.909785932721713" maxValue="1986.98979591836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SHANK RACHA" refreshedDate="45941.684414699077" createdVersion="8" refreshedVersion="8" minRefreshableVersion="3" recordCount="339" xr:uid="{893F78F7-725E-404C-B513-D186F3456687}">
  <cacheSource type="worksheet">
    <worksheetSource name="Posts_2[[Platform]:[Engagement]]"/>
  </cacheSource>
  <cacheFields count="14"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 count="6">
        <s v="#TeslaCoInnovation"/>
        <s v="#EVRevolution"/>
        <s v="#AnytimeIsTeslaTime"/>
        <s v="#FutureOfDriving"/>
        <s v="#BetterWithTesla"/>
        <s v="#SmoothLikeNitroTesla"/>
      </sharedItems>
    </cacheField>
    <cacheField name="Campaign_Name" numFmtId="0">
      <sharedItems/>
    </cacheField>
    <cacheField name="Engagement Rate" numFmtId="2">
      <sharedItems containsSemiMixedTypes="0" containsString="0" containsNumber="1" minValue="11.909785932721713" maxValue="1986.9897959183672"/>
    </cacheField>
    <cacheField name="Engagement" numFmtId="1">
      <sharedItems containsSemiMixedTypes="0" containsString="0" containsNumber="1" containsInteger="1" minValue="315" maxValue="62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SHANK RACHA" refreshedDate="45941.687172916667" createdVersion="8" refreshedVersion="8" minRefreshableVersion="3" recordCount="339" xr:uid="{311369FB-E442-4139-9288-06E2008E029B}">
  <cacheSource type="worksheet">
    <worksheetSource name="Posts_2"/>
  </cacheSource>
  <cacheFields count="15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Video"/>
        <s v="Story"/>
        <s v="Text"/>
        <s v="Image"/>
        <s v="Carousel"/>
        <s v="Reel"/>
      </sharedItems>
    </cacheField>
    <cacheField name="Post Text" numFmtId="0">
      <sharedItems count="24">
        <s v="Check out our latest video on twitter!"/>
        <s v="Check out our latest story on youtube!"/>
        <s v="Check out our latest text on youtube!"/>
        <s v="Check out our latest image on instagram!"/>
        <s v="Check out our latest video on youtube!"/>
        <s v="Check out our latest image on facebook!"/>
        <s v="Check out our latest text on twitter!"/>
        <s v="Check out our latest story on instagram!"/>
        <s v="Check out our latest image on youtube!"/>
        <s v="Check out our latest carousel on youtube!"/>
        <s v="Check out our latest carousel on instagram!"/>
        <s v="Check out our latest reel on instagram!"/>
        <s v="Check out our latest text on instagram!"/>
        <s v="Check out our latest reel on twitter!"/>
        <s v="Check out our latest carousel on facebook!"/>
        <s v="Check out our latest story on facebook!"/>
        <s v="Check out our latest image on twitter!"/>
        <s v="Check out our latest reel on facebook!"/>
        <s v="Check out our latest carousel on twitter!"/>
        <s v="Check out our latest story on twitter!"/>
        <s v="Check out our latest video on instagram!"/>
        <s v="Check out our latest video on facebook!"/>
        <s v="Check out our latest text on facebook!"/>
        <s v="Check out our latest reel on youtube!"/>
      </sharedItems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 count="6">
        <s v="#TeslaCoInnovation"/>
        <s v="#EVRevolution"/>
        <s v="#AnytimeIsTeslaTime"/>
        <s v="#FutureOfDriving"/>
        <s v="#BetterWithTesla"/>
        <s v="#SmoothLikeNitroTesla"/>
      </sharedItems>
    </cacheField>
    <cacheField name="Campaign_Name" numFmtId="0">
      <sharedItems count="5">
        <s v="CybertruckLaunch"/>
        <s v="SustainabilityDrive"/>
        <s v="FSDUpdate"/>
        <s v="ModelYCampaign"/>
        <s v="Not available"/>
      </sharedItems>
    </cacheField>
    <cacheField name="Engagement Rate" numFmtId="2">
      <sharedItems containsSemiMixedTypes="0" containsString="0" containsNumber="1" minValue="11.909785932721713" maxValue="1986.9897959183672"/>
    </cacheField>
    <cacheField name="Engagement" numFmtId="1">
      <sharedItems containsSemiMixedTypes="0" containsString="0" containsNumber="1" containsInteger="1" minValue="315" maxValue="62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SHANK RACHA" refreshedDate="45942.646188078703" createdVersion="8" refreshedVersion="8" minRefreshableVersion="3" recordCount="200" xr:uid="{9287FF7D-C0F1-48FE-8F19-6E54EC827CD1}">
  <cacheSource type="worksheet">
    <worksheetSource ref="A1:H201" sheet="Engagement Summary"/>
  </cacheSource>
  <cacheFields count="8">
    <cacheField name="Week_Start_Date" numFmtId="0">
      <sharedItems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1">
      <sharedItems containsSemiMixedTypes="0" containsString="0" containsNumber="1" containsInteger="1" minValue="1083" maxValue="49772"/>
    </cacheField>
    <cacheField name="Follower_Growth_Rate" numFmtId="10">
      <sharedItems containsSemiMixedTypes="0" containsString="0" containsNumber="1" minValue="-0.4081978730104896" maxValue="10.8251142650950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SHANK RACHA" refreshedDate="45943.663737037037" createdVersion="8" refreshedVersion="8" minRefreshableVersion="3" recordCount="200" xr:uid="{274F534D-A61A-429D-A295-2154DBAB9327}">
  <cacheSource type="worksheet">
    <worksheetSource ref="A1:I201" sheet="Engagement Summary"/>
  </cacheSource>
  <cacheFields count="9">
    <cacheField name="Week_Start_Date" numFmtId="0">
      <sharedItems count="50"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</sharedItems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1">
      <sharedItems containsSemiMixedTypes="0" containsString="0" containsNumber="1" containsInteger="1" minValue="1083" maxValue="49772"/>
    </cacheField>
    <cacheField name="Net_FollowerGrowth_Rate" numFmtId="10">
      <sharedItems containsSemiMixedTypes="0" containsString="0" containsNumber="1" minValue="-4.0819787301048958E-3" maxValue="0.10825114265095021"/>
    </cacheField>
    <cacheField name="Follower_Gain" numFmtId="0">
      <sharedItems containsSemiMixedTypes="0" containsString="0" containsNumber="1" containsInteger="1" minValue="-337" maxValue="18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SHANK RACHA" refreshedDate="45959.469415856482" createdVersion="8" refreshedVersion="8" minRefreshableVersion="3" recordCount="200" xr:uid="{D194B48E-6411-4A77-96ED-29ACD47CFE62}">
  <cacheSource type="worksheet">
    <worksheetSource name="Table5_2"/>
  </cacheSource>
  <cacheFields count="12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11"/>
    </cacheField>
    <cacheField name="Platform" numFmtId="0">
      <sharedItems/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  <cacheField name="Net_FollowerGrowth_Rate" numFmtId="10">
      <sharedItems containsSemiMixedTypes="0" containsString="0" containsNumber="1" minValue="-4.0819787301048958E-3" maxValue="0.10825114265095021"/>
    </cacheField>
    <cacheField name="Follower_Gain" numFmtId="0">
      <sharedItems containsSemiMixedTypes="0" containsString="0" containsNumber="1" containsInteger="1" minValue="-337" maxValue="1881"/>
    </cacheField>
    <cacheField name="Months (Week_Start_Date)" numFmtId="0" databaseField="0">
      <fieldGroup base="0">
        <rangePr groupBy="months" startDate="2024-06-03T00:00:00" endDate="2025-05-13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025"/>
        </groupItems>
      </fieldGroup>
    </cacheField>
    <cacheField name="Quarters (Week_Start_Date)" numFmtId="0" databaseField="0">
      <fieldGroup base="0">
        <rangePr groupBy="quarters" startDate="2024-06-03T00:00:00" endDate="2025-05-13T00:00:00"/>
        <groupItems count="6">
          <s v="&lt;03-06-2024"/>
          <s v="Qtr1"/>
          <s v="Qtr2"/>
          <s v="Qtr3"/>
          <s v="Qtr4"/>
          <s v="&gt;13-05-2025"/>
        </groupItems>
      </fieldGroup>
    </cacheField>
    <cacheField name="Years (Week_Start_Date)" numFmtId="0" databaseField="0">
      <fieldGroup base="0">
        <rangePr groupBy="years" startDate="2024-06-03T00:00:00" endDate="2025-05-13T00:00:00"/>
        <groupItems count="4">
          <s v="&lt;03-06-2024"/>
          <s v="2024"/>
          <s v="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s v="P001"/>
    <x v="0"/>
    <d v="2024-12-23T00:00:00"/>
    <x v="0"/>
    <s v="Check out our latest reel on twitter!"/>
    <x v="0"/>
    <n v="184"/>
    <n v="344"/>
    <n v="21915"/>
    <n v="21675"/>
    <n v="15"/>
    <s v="#FutureOfDriving"/>
    <s v="#AnytimeIsTeslaTime"/>
    <m/>
    <s v="CybertruckLaunch"/>
  </r>
  <r>
    <s v="P002"/>
    <x v="0"/>
    <d v="2025-04-03T00:00:00"/>
    <x v="1"/>
    <s v="Check out our latest text on twitter!"/>
    <x v="1"/>
    <n v="389"/>
    <n v="493"/>
    <n v="64864"/>
    <n v="64383"/>
    <n v="117"/>
    <s v="#TeslaCoInnovation"/>
    <s v="#BetterWithTesla"/>
    <m/>
    <s v="ModelYCampaign"/>
  </r>
  <r>
    <s v="P003"/>
    <x v="1"/>
    <d v="2025-05-12T00:00:00"/>
    <x v="0"/>
    <s v="Check out our latest reel on youtube!"/>
    <x v="2"/>
    <n v="105"/>
    <n v="49"/>
    <n v="53105"/>
    <n v="52307"/>
    <n v="204"/>
    <s v="#TeslaCoInnovation"/>
    <m/>
    <m/>
    <s v="FSDUpdate"/>
  </r>
  <r>
    <s v="P004"/>
    <x v="2"/>
    <d v="2024-08-12T00:00:00"/>
    <x v="2"/>
    <s v="Check out our latest story on instagram!"/>
    <x v="3"/>
    <n v="363"/>
    <n v="138"/>
    <n v="19232"/>
    <n v="18636"/>
    <n v="128"/>
    <s v="#EVRevolution"/>
    <m/>
    <m/>
    <s v="SustainabilityDrive"/>
  </r>
  <r>
    <s v="P005"/>
    <x v="1"/>
    <d v="2024-06-26T00:00:00"/>
    <x v="0"/>
    <s v="Check out our latest reel on youtube!"/>
    <x v="4"/>
    <n v="687"/>
    <n v="424"/>
    <n v="71140"/>
    <n v="70701"/>
    <n v="224"/>
    <s v="#EVRevolution"/>
    <s v="#TeslaCoInnovation"/>
    <m/>
    <s v="CybertruckLaunch"/>
  </r>
  <r>
    <s v="P006"/>
    <x v="3"/>
    <d v="2024-10-31T00:00:00"/>
    <x v="3"/>
    <s v="Check out our latest carousel on facebook!"/>
    <x v="5"/>
    <n v="930"/>
    <n v="355"/>
    <n v="23560"/>
    <n v="23275"/>
    <n v="256"/>
    <s v="#TeslaCoInnovation"/>
    <m/>
    <m/>
    <s v="ModelYCampaign"/>
  </r>
  <r>
    <s v="P007"/>
    <x v="0"/>
    <d v="2024-06-24T00:00:00"/>
    <x v="3"/>
    <s v="Check out our latest carousel on twitter!"/>
    <x v="6"/>
    <n v="201"/>
    <n v="279"/>
    <n v="61760"/>
    <n v="61660"/>
    <n v="235"/>
    <s v="#TeslaCoInnovation"/>
    <m/>
    <m/>
    <s v="ModelYCampaign"/>
  </r>
  <r>
    <s v="P008"/>
    <x v="1"/>
    <d v="2024-07-13T00:00:00"/>
    <x v="4"/>
    <s v="Check out our latest image on youtube!"/>
    <x v="7"/>
    <n v="262"/>
    <n v="278"/>
    <n v="43219"/>
    <n v="42841"/>
    <n v="39"/>
    <s v="#EVRevolution"/>
    <m/>
    <m/>
    <s v="SustainabilityDrive"/>
  </r>
  <r>
    <s v="P009"/>
    <x v="3"/>
    <d v="2024-08-30T00:00:00"/>
    <x v="1"/>
    <s v="Check out our latest text on facebook!"/>
    <x v="8"/>
    <n v="808"/>
    <n v="404"/>
    <n v="56760"/>
    <n v="56343"/>
    <n v="131"/>
    <s v="#TeslaCoInnovation"/>
    <m/>
    <m/>
    <s v="ModelYCampaign"/>
  </r>
  <r>
    <s v="P010"/>
    <x v="3"/>
    <d v="2025-03-11T00:00:00"/>
    <x v="4"/>
    <s v="Check out our latest image on facebook!"/>
    <x v="9"/>
    <n v="902"/>
    <n v="47"/>
    <n v="72097"/>
    <n v="71598"/>
    <n v="167"/>
    <s v="#TeslaCoInnovation"/>
    <m/>
    <m/>
    <s v="ModelYCampaign"/>
  </r>
  <r>
    <s v="P011"/>
    <x v="2"/>
    <d v="2025-02-02T00:00:00"/>
    <x v="2"/>
    <s v="Check out our latest story on instagram!"/>
    <x v="10"/>
    <n v="614"/>
    <n v="497"/>
    <n v="25088"/>
    <n v="24675"/>
    <n v="65"/>
    <s v="#FutureOfDriving"/>
    <m/>
    <m/>
    <s v="SustainabilityDrive"/>
  </r>
  <r>
    <s v="P012"/>
    <x v="3"/>
    <d v="2024-07-21T00:00:00"/>
    <x v="0"/>
    <s v="Check out our latest reel on facebook!"/>
    <x v="11"/>
    <n v="686"/>
    <n v="377"/>
    <n v="23352"/>
    <n v="22982"/>
    <n v="213"/>
    <s v="#FutureOfDriving"/>
    <m/>
    <m/>
    <s v="FSDUpdate"/>
  </r>
  <r>
    <s v="P013"/>
    <x v="1"/>
    <d v="2024-11-18T00:00:00"/>
    <x v="3"/>
    <s v="Check out our latest carousel on youtube!"/>
    <x v="12"/>
    <n v="286"/>
    <n v="231"/>
    <n v="22249"/>
    <n v="21282"/>
    <n v="114"/>
    <s v="#EVRevolution"/>
    <m/>
    <m/>
    <s v="CybertruckLaunch"/>
  </r>
  <r>
    <s v="P014"/>
    <x v="3"/>
    <d v="2025-02-16T00:00:00"/>
    <x v="2"/>
    <s v="Check out our latest story on facebook!"/>
    <x v="13"/>
    <n v="555"/>
    <n v="131"/>
    <n v="33936"/>
    <n v="33802"/>
    <n v="265"/>
    <s v="#FutureOfDriving"/>
    <m/>
    <m/>
    <m/>
  </r>
  <r>
    <s v="P015"/>
    <x v="3"/>
    <d v="2024-10-24T00:00:00"/>
    <x v="5"/>
    <s v="Check out our latest video on facebook!"/>
    <x v="14"/>
    <n v="604"/>
    <n v="128"/>
    <n v="77760"/>
    <n v="77167"/>
    <n v="20"/>
    <s v="#FutureOfDriving"/>
    <m/>
    <m/>
    <s v="CybertruckLaunch"/>
  </r>
  <r>
    <s v="P016"/>
    <x v="3"/>
    <d v="2024-08-26T00:00:00"/>
    <x v="1"/>
    <s v="Check out our latest text on facebook!"/>
    <x v="15"/>
    <n v="377"/>
    <n v="360"/>
    <n v="55232"/>
    <n v="55075"/>
    <n v="87"/>
    <s v="#FutureOfDriving"/>
    <m/>
    <m/>
    <s v="FSDUpdate"/>
  </r>
  <r>
    <s v="P017"/>
    <x v="3"/>
    <d v="2025-05-05T00:00:00"/>
    <x v="1"/>
    <s v="Check out our latest text on facebook!"/>
    <x v="16"/>
    <n v="511"/>
    <n v="70"/>
    <n v="53292"/>
    <n v="53082"/>
    <n v="159"/>
    <s v="#EVRevolution"/>
    <m/>
    <m/>
    <s v="SustainabilityDrive"/>
  </r>
  <r>
    <s v="P018"/>
    <x v="2"/>
    <d v="2024-08-19T00:00:00"/>
    <x v="0"/>
    <s v="Check out our latest reel on instagram!"/>
    <x v="17"/>
    <n v="382"/>
    <n v="325"/>
    <n v="36000"/>
    <n v="35819"/>
    <n v="19"/>
    <s v="#FutureOfDriving"/>
    <m/>
    <m/>
    <s v="CybertruckLaunch"/>
  </r>
  <r>
    <s v="P019"/>
    <x v="2"/>
    <d v="2024-06-23T00:00:00"/>
    <x v="5"/>
    <s v="Check out our latest video on instagram!"/>
    <x v="18"/>
    <n v="519"/>
    <n v="22"/>
    <n v="16065"/>
    <n v="15865"/>
    <n v="103"/>
    <s v="#TeslaCoInnovation"/>
    <m/>
    <m/>
    <s v="SustainabilityDrive"/>
  </r>
  <r>
    <s v="P020"/>
    <x v="2"/>
    <d v="2024-09-09T00:00:00"/>
    <x v="3"/>
    <s v="Check out our latest carousel on instagram!"/>
    <x v="1"/>
    <n v="488"/>
    <n v="373"/>
    <n v="77026"/>
    <n v="76881"/>
    <n v="25"/>
    <s v="#TeslaCoInnovation"/>
    <m/>
    <m/>
    <s v="CybertruckLaunch"/>
  </r>
  <r>
    <s v="P021"/>
    <x v="2"/>
    <d v="2025-01-04T00:00:00"/>
    <x v="0"/>
    <s v="Check out our latest reel on instagram!"/>
    <x v="19"/>
    <n v="640"/>
    <n v="128"/>
    <n v="72570"/>
    <n v="72396"/>
    <n v="83"/>
    <s v="#FutureOfDriving"/>
    <m/>
    <m/>
    <s v="SustainabilityDrive"/>
  </r>
  <r>
    <s v="P022"/>
    <x v="3"/>
    <d v="2025-02-27T00:00:00"/>
    <x v="1"/>
    <s v="Check out our latest text on facebook!"/>
    <x v="20"/>
    <n v="187"/>
    <n v="260"/>
    <n v="25120"/>
    <n v="24613"/>
    <n v="133"/>
    <s v="#TeslaCoInnovation"/>
    <m/>
    <m/>
    <s v="SustainabilityDrive"/>
  </r>
  <r>
    <s v="P023"/>
    <x v="3"/>
    <d v="2024-11-06T00:00:00"/>
    <x v="5"/>
    <s v="Check out our latest video on facebook!"/>
    <x v="21"/>
    <n v="547"/>
    <n v="316"/>
    <n v="32120"/>
    <n v="31736"/>
    <n v="225"/>
    <s v="#TeslaCoInnovation"/>
    <s v="#AnytimeIsTeslaTime"/>
    <m/>
    <s v="ModelYCampaign"/>
  </r>
  <r>
    <s v="P024"/>
    <x v="3"/>
    <d v="2025-01-23T00:00:00"/>
    <x v="5"/>
    <s v="Check out our latest video on facebook!"/>
    <x v="22"/>
    <n v="761"/>
    <n v="131"/>
    <n v="67337"/>
    <n v="66615"/>
    <n v="161"/>
    <s v="#FutureOfDriving"/>
    <m/>
    <m/>
    <s v="FSDUpdate"/>
  </r>
  <r>
    <s v="P025"/>
    <x v="0"/>
    <d v="2025-04-10T00:00:00"/>
    <x v="3"/>
    <s v="Check out our latest carousel on twitter!"/>
    <x v="23"/>
    <n v="211"/>
    <n v="197"/>
    <n v="59432"/>
    <n v="59182"/>
    <n v="238"/>
    <s v="#EVRevolution"/>
    <m/>
    <m/>
    <m/>
  </r>
  <r>
    <s v="P026"/>
    <x v="1"/>
    <d v="2025-04-05T00:00:00"/>
    <x v="0"/>
    <s v="Check out our latest reel on youtube!"/>
    <x v="24"/>
    <n v="413"/>
    <n v="358"/>
    <n v="42126"/>
    <n v="41309"/>
    <n v="211"/>
    <s v="#FutureOfDriving"/>
    <m/>
    <m/>
    <s v="ModelYCampaign"/>
  </r>
  <r>
    <s v="P027"/>
    <x v="1"/>
    <d v="2024-09-17T00:00:00"/>
    <x v="1"/>
    <s v="Check out our latest text on youtube!"/>
    <x v="25"/>
    <n v="195"/>
    <n v="104"/>
    <n v="33216"/>
    <n v="32244"/>
    <n v="51"/>
    <s v="#FutureOfDriving"/>
    <m/>
    <m/>
    <s v="SustainabilityDrive"/>
  </r>
  <r>
    <s v="P028"/>
    <x v="2"/>
    <d v="2025-03-04T00:00:00"/>
    <x v="5"/>
    <s v="Check out our latest video on instagram!"/>
    <x v="26"/>
    <n v="624"/>
    <n v="123"/>
    <n v="6912"/>
    <n v="6259"/>
    <n v="79"/>
    <s v="#FutureOfDriving"/>
    <m/>
    <m/>
    <s v="SustainabilityDrive"/>
  </r>
  <r>
    <s v="P029"/>
    <x v="2"/>
    <d v="2025-01-31T00:00:00"/>
    <x v="3"/>
    <s v="Check out our latest carousel on instagram!"/>
    <x v="27"/>
    <n v="118"/>
    <n v="37"/>
    <n v="12830"/>
    <n v="12264"/>
    <n v="221"/>
    <s v="#FutureOfDriving"/>
    <m/>
    <m/>
    <s v="FSDUpdate"/>
  </r>
  <r>
    <s v="P030"/>
    <x v="2"/>
    <d v="2025-02-25T00:00:00"/>
    <x v="5"/>
    <s v="Check out our latest video on instagram!"/>
    <x v="28"/>
    <n v="39"/>
    <n v="78"/>
    <n v="55710"/>
    <n v="54808"/>
    <n v="93"/>
    <s v="#EVRevolution"/>
    <m/>
    <m/>
    <m/>
  </r>
  <r>
    <s v="P031"/>
    <x v="2"/>
    <d v="2024-12-16T00:00:00"/>
    <x v="1"/>
    <s v="Check out our latest text on instagram!"/>
    <x v="29"/>
    <n v="153"/>
    <n v="275"/>
    <n v="3066"/>
    <n v="2701"/>
    <n v="282"/>
    <s v="#TeslaCoInnovation"/>
    <m/>
    <m/>
    <s v="ModelYCampaign"/>
  </r>
  <r>
    <s v="P032"/>
    <x v="0"/>
    <d v="2024-07-31T00:00:00"/>
    <x v="3"/>
    <s v="Check out our latest carousel on twitter!"/>
    <x v="30"/>
    <n v="10"/>
    <n v="321"/>
    <n v="13668"/>
    <n v="12676"/>
    <n v="275"/>
    <s v="#EVRevolution"/>
    <m/>
    <m/>
    <s v="CybertruckLaunch"/>
  </r>
  <r>
    <s v="P033"/>
    <x v="3"/>
    <d v="2024-08-21T00:00:00"/>
    <x v="4"/>
    <s v="Check out our latest image on facebook!"/>
    <x v="31"/>
    <n v="400"/>
    <n v="351"/>
    <n v="16884"/>
    <n v="15954"/>
    <n v="113"/>
    <s v="#TeslaCoInnovation"/>
    <m/>
    <m/>
    <s v="CybertruckLaunch"/>
  </r>
  <r>
    <s v="P034"/>
    <x v="3"/>
    <d v="2025-03-26T00:00:00"/>
    <x v="1"/>
    <s v="Check out our latest text on facebook!"/>
    <x v="32"/>
    <n v="89"/>
    <n v="357"/>
    <n v="29736"/>
    <n v="28771"/>
    <n v="215"/>
    <s v="#TeslaCoInnovation"/>
    <m/>
    <m/>
    <s v="FSDUpdate"/>
  </r>
  <r>
    <s v="P035"/>
    <x v="2"/>
    <d v="2024-11-30T00:00:00"/>
    <x v="5"/>
    <s v="Check out our latest video on instagram!"/>
    <x v="33"/>
    <n v="16"/>
    <n v="239"/>
    <n v="33975"/>
    <n v="33310"/>
    <n v="271"/>
    <s v="#FutureOfDriving"/>
    <m/>
    <m/>
    <s v="ModelYCampaign"/>
  </r>
  <r>
    <s v="P036"/>
    <x v="2"/>
    <d v="2025-04-19T00:00:00"/>
    <x v="2"/>
    <s v="Check out our latest story on instagram!"/>
    <x v="34"/>
    <n v="285"/>
    <n v="383"/>
    <n v="67770"/>
    <n v="67621"/>
    <n v="31"/>
    <s v="#EVRevolution"/>
    <m/>
    <m/>
    <s v="ModelYCampaign"/>
  </r>
  <r>
    <s v="P037"/>
    <x v="3"/>
    <d v="2025-01-06T00:00:00"/>
    <x v="3"/>
    <s v="Check out our latest carousel on facebook!"/>
    <x v="35"/>
    <n v="925"/>
    <n v="350"/>
    <n v="24192"/>
    <n v="23518"/>
    <n v="36"/>
    <s v="#EVRevolution"/>
    <m/>
    <m/>
    <s v="ModelYCampaign"/>
  </r>
  <r>
    <s v="P038"/>
    <x v="1"/>
    <d v="2025-02-17T00:00:00"/>
    <x v="0"/>
    <s v="Check out our latest reel on youtube!"/>
    <x v="36"/>
    <n v="123"/>
    <n v="291"/>
    <n v="28242"/>
    <n v="27550"/>
    <n v="87"/>
    <s v="#TeslaCoInnovation"/>
    <m/>
    <m/>
    <s v="SustainabilityDrive"/>
  </r>
  <r>
    <s v="P039"/>
    <x v="3"/>
    <d v="2024-11-25T00:00:00"/>
    <x v="4"/>
    <s v="Check out our latest image on facebook!"/>
    <x v="37"/>
    <n v="629"/>
    <n v="177"/>
    <n v="60588"/>
    <n v="59627"/>
    <n v="92"/>
    <s v="#TeslaCoInnovation"/>
    <m/>
    <m/>
    <m/>
  </r>
  <r>
    <s v="P040"/>
    <x v="0"/>
    <d v="2025-03-07T00:00:00"/>
    <x v="4"/>
    <s v="Check out our latest image on twitter!"/>
    <x v="38"/>
    <n v="151"/>
    <n v="415"/>
    <n v="38000"/>
    <n v="37792"/>
    <n v="299"/>
    <s v="#EVRevolution"/>
    <m/>
    <m/>
    <s v="SustainabilityDrive"/>
  </r>
  <r>
    <s v="P041"/>
    <x v="2"/>
    <d v="2025-03-08T00:00:00"/>
    <x v="0"/>
    <s v="Check out our latest reel on instagram!"/>
    <x v="39"/>
    <n v="629"/>
    <n v="428"/>
    <n v="8208"/>
    <n v="7377"/>
    <n v="205"/>
    <s v="#FutureOfDriving"/>
    <m/>
    <m/>
    <s v="SustainabilityDrive"/>
  </r>
  <r>
    <s v="P042"/>
    <x v="1"/>
    <d v="2025-03-05T00:00:00"/>
    <x v="0"/>
    <s v="Check out our latest reel on youtube!"/>
    <x v="40"/>
    <n v="820"/>
    <n v="333"/>
    <n v="12344"/>
    <n v="11496"/>
    <n v="241"/>
    <s v="#EVRevolution"/>
    <m/>
    <m/>
    <m/>
  </r>
  <r>
    <s v="P043"/>
    <x v="2"/>
    <d v="2024-12-14T00:00:00"/>
    <x v="3"/>
    <s v="Check out our latest carousel on instagram!"/>
    <x v="41"/>
    <n v="658"/>
    <n v="15"/>
    <n v="13044"/>
    <n v="12206"/>
    <n v="137"/>
    <s v="#TeslaCoInnovation"/>
    <m/>
    <m/>
    <s v="FSDUpdate"/>
  </r>
  <r>
    <s v="P044"/>
    <x v="0"/>
    <d v="2025-03-02T00:00:00"/>
    <x v="4"/>
    <s v="Check out our latest image on twitter!"/>
    <x v="42"/>
    <n v="784"/>
    <n v="344"/>
    <n v="35370"/>
    <n v="34475"/>
    <n v="216"/>
    <s v="#TeslaCoInnovation"/>
    <m/>
    <m/>
    <m/>
  </r>
  <r>
    <s v="P045"/>
    <x v="3"/>
    <d v="2024-11-01T00:00:00"/>
    <x v="5"/>
    <s v="Check out our latest video on facebook!"/>
    <x v="43"/>
    <n v="106"/>
    <n v="327"/>
    <n v="50565"/>
    <n v="49816"/>
    <n v="176"/>
    <s v="#FutureOfDriving"/>
    <m/>
    <m/>
    <s v="CybertruckLaunch"/>
  </r>
  <r>
    <s v="P046"/>
    <x v="0"/>
    <d v="2025-05-02T00:00:00"/>
    <x v="5"/>
    <s v="Check out our latest video on twitter!"/>
    <x v="44"/>
    <n v="177"/>
    <n v="212"/>
    <n v="8864"/>
    <n v="8710"/>
    <n v="97"/>
    <s v="#TeslaCoInnovation"/>
    <m/>
    <m/>
    <s v="SustainabilityDrive"/>
  </r>
  <r>
    <s v="P047"/>
    <x v="0"/>
    <d v="2025-02-24T00:00:00"/>
    <x v="3"/>
    <s v="Check out our latest carousel on twitter!"/>
    <x v="45"/>
    <n v="752"/>
    <n v="153"/>
    <n v="21632"/>
    <n v="20792"/>
    <n v="127"/>
    <s v="#FutureOfDriving"/>
    <m/>
    <m/>
    <m/>
  </r>
  <r>
    <s v="P048"/>
    <x v="0"/>
    <d v="2025-03-11T00:00:00"/>
    <x v="2"/>
    <s v="Check out our latest story on twitter!"/>
    <x v="46"/>
    <n v="295"/>
    <n v="478"/>
    <n v="37050"/>
    <n v="36272"/>
    <n v="119"/>
    <s v="#TeslaCoInnovation"/>
    <m/>
    <m/>
    <m/>
  </r>
  <r>
    <s v="P049"/>
    <x v="0"/>
    <d v="2024-06-10T00:00:00"/>
    <x v="2"/>
    <s v="Check out our latest story on twitter!"/>
    <x v="47"/>
    <n v="549"/>
    <n v="274"/>
    <n v="28132"/>
    <n v="27361"/>
    <n v="177"/>
    <s v="#TeslaCoInnovation"/>
    <m/>
    <m/>
    <s v="SustainabilityDrive"/>
  </r>
  <r>
    <s v="P050"/>
    <x v="1"/>
    <d v="2024-07-03T00:00:00"/>
    <x v="2"/>
    <s v="Check out our latest story on youtube!"/>
    <x v="48"/>
    <n v="130"/>
    <n v="90"/>
    <n v="22032"/>
    <n v="21288"/>
    <n v="112"/>
    <s v="#TeslaCoInnovation"/>
    <m/>
    <m/>
    <s v="FSDUpdate"/>
  </r>
  <r>
    <s v="P051"/>
    <x v="3"/>
    <d v="2024-06-13T00:00:00"/>
    <x v="3"/>
    <s v="Check out our latest carousel on facebook!"/>
    <x v="49"/>
    <n v="504"/>
    <n v="239"/>
    <n v="37400"/>
    <n v="36938"/>
    <n v="225"/>
    <s v="#FutureOfDriving"/>
    <m/>
    <m/>
    <s v="ModelYCampaign"/>
  </r>
  <r>
    <s v="P052"/>
    <x v="3"/>
    <d v="2025-01-03T00:00:00"/>
    <x v="4"/>
    <s v="Check out our latest image on facebook!"/>
    <x v="50"/>
    <n v="338"/>
    <n v="350"/>
    <n v="10417"/>
    <n v="9730"/>
    <n v="34"/>
    <s v="#TeslaCoInnovation"/>
    <m/>
    <m/>
    <s v="SustainabilityDrive"/>
  </r>
  <r>
    <s v="P053"/>
    <x v="1"/>
    <d v="2025-02-24T00:00:00"/>
    <x v="3"/>
    <s v="Check out our latest carousel on youtube!"/>
    <x v="51"/>
    <n v="639"/>
    <n v="43"/>
    <n v="4020"/>
    <n v="3144"/>
    <n v="11"/>
    <s v="#EVRevolution"/>
    <s v="#BetterWithTesla"/>
    <m/>
    <m/>
  </r>
  <r>
    <s v="P054"/>
    <x v="1"/>
    <d v="2025-03-13T00:00:00"/>
    <x v="3"/>
    <s v="Check out our latest carousel on youtube!"/>
    <x v="52"/>
    <n v="904"/>
    <n v="472"/>
    <n v="18546"/>
    <n v="18171"/>
    <n v="52"/>
    <s v="#FutureOfDriving"/>
    <m/>
    <m/>
    <s v="ModelYCampaign"/>
  </r>
  <r>
    <s v="P055"/>
    <x v="3"/>
    <d v="2024-06-17T00:00:00"/>
    <x v="4"/>
    <s v="Check out our latest image on facebook!"/>
    <x v="53"/>
    <n v="119"/>
    <n v="7"/>
    <n v="14712"/>
    <n v="14049"/>
    <n v="123"/>
    <s v="#EVRevolution"/>
    <m/>
    <m/>
    <s v="SustainabilityDrive"/>
  </r>
  <r>
    <s v="P056"/>
    <x v="3"/>
    <d v="2024-12-18T00:00:00"/>
    <x v="3"/>
    <s v="Check out our latest carousel on facebook!"/>
    <x v="54"/>
    <n v="498"/>
    <n v="367"/>
    <n v="29460"/>
    <n v="28527"/>
    <n v="60"/>
    <s v="#FutureOfDriving"/>
    <m/>
    <m/>
    <s v="FSDUpdate"/>
  </r>
  <r>
    <s v="P057"/>
    <x v="0"/>
    <d v="2024-10-21T00:00:00"/>
    <x v="5"/>
    <s v="Check out our latest video on twitter!"/>
    <x v="55"/>
    <n v="535"/>
    <n v="295"/>
    <n v="45200"/>
    <n v="44739"/>
    <n v="169"/>
    <s v="#TeslaCoInnovation"/>
    <m/>
    <m/>
    <s v="CybertruckLaunch"/>
  </r>
  <r>
    <s v="P058"/>
    <x v="2"/>
    <d v="2025-04-15T00:00:00"/>
    <x v="0"/>
    <s v="Check out our latest reel on instagram!"/>
    <x v="56"/>
    <n v="770"/>
    <n v="19"/>
    <n v="1030"/>
    <n v="410"/>
    <n v="262"/>
    <s v="#TeslaCoInnovation"/>
    <m/>
    <m/>
    <s v="SustainabilityDrive"/>
  </r>
  <r>
    <s v="P059"/>
    <x v="2"/>
    <d v="2024-06-22T00:00:00"/>
    <x v="1"/>
    <s v="Check out our latest text on instagram!"/>
    <x v="57"/>
    <n v="263"/>
    <n v="387"/>
    <n v="30520"/>
    <n v="30059"/>
    <n v="174"/>
    <s v="#EVRevolution"/>
    <m/>
    <m/>
    <m/>
  </r>
  <r>
    <s v="P060"/>
    <x v="2"/>
    <d v="2025-01-28T00:00:00"/>
    <x v="5"/>
    <s v="Check out our latest video on instagram!"/>
    <x v="58"/>
    <n v="973"/>
    <n v="63"/>
    <n v="11752"/>
    <n v="11580"/>
    <n v="84"/>
    <s v="#EVRevolution"/>
    <s v="#TeslaCoInnovation"/>
    <s v="#AnytimeIsTeslaTime"/>
    <s v="FSDUpdate"/>
  </r>
  <r>
    <s v="P061"/>
    <x v="0"/>
    <d v="2024-09-05T00:00:00"/>
    <x v="5"/>
    <s v="Check out our latest video on twitter!"/>
    <x v="59"/>
    <n v="983"/>
    <n v="409"/>
    <n v="43974"/>
    <n v="43239"/>
    <n v="65"/>
    <s v="#TeslaCoInnovation"/>
    <m/>
    <m/>
    <s v="CybertruckLaunch"/>
  </r>
  <r>
    <s v="P062"/>
    <x v="0"/>
    <d v="2024-11-22T00:00:00"/>
    <x v="3"/>
    <s v="Check out our latest carousel on twitter!"/>
    <x v="60"/>
    <n v="81"/>
    <n v="379"/>
    <n v="954"/>
    <n v="7"/>
    <n v="148"/>
    <s v="#TeslaCoInnovation"/>
    <m/>
    <m/>
    <s v="FSDUpdate"/>
  </r>
  <r>
    <s v="P063"/>
    <x v="0"/>
    <d v="2024-07-31T00:00:00"/>
    <x v="3"/>
    <s v="Check out our latest carousel on twitter!"/>
    <x v="61"/>
    <n v="217"/>
    <n v="13"/>
    <n v="90140"/>
    <n v="89591"/>
    <n v="125"/>
    <s v="#FutureOfDriving"/>
    <m/>
    <m/>
    <s v="FSDUpdate"/>
  </r>
  <r>
    <s v="P064"/>
    <x v="3"/>
    <d v="2024-08-17T00:00:00"/>
    <x v="4"/>
    <s v="Check out our latest image on facebook!"/>
    <x v="62"/>
    <n v="248"/>
    <n v="416"/>
    <n v="43170"/>
    <n v="42667"/>
    <n v="75"/>
    <s v="#FutureOfDriving"/>
    <m/>
    <m/>
    <s v="FSDUpdate"/>
  </r>
  <r>
    <s v="P065"/>
    <x v="2"/>
    <d v="2025-03-28T00:00:00"/>
    <x v="2"/>
    <s v="Check out our latest story on instagram!"/>
    <x v="63"/>
    <n v="501"/>
    <n v="99"/>
    <n v="20691"/>
    <n v="19987"/>
    <n v="289"/>
    <s v="#EVRevolution"/>
    <m/>
    <m/>
    <m/>
  </r>
  <r>
    <s v="P066"/>
    <x v="0"/>
    <d v="2024-07-26T00:00:00"/>
    <x v="3"/>
    <s v="Check out our latest carousel on twitter!"/>
    <x v="26"/>
    <n v="171"/>
    <n v="280"/>
    <n v="3024"/>
    <n v="2285"/>
    <n v="184"/>
    <s v="#EVRevolution"/>
    <m/>
    <m/>
    <s v="CybertruckLaunch"/>
  </r>
  <r>
    <s v="P067"/>
    <x v="3"/>
    <d v="2025-03-29T00:00:00"/>
    <x v="3"/>
    <s v="Check out our latest carousel on facebook!"/>
    <x v="64"/>
    <n v="568"/>
    <n v="127"/>
    <n v="84816"/>
    <n v="84691"/>
    <n v="100"/>
    <s v="#EVRevolution"/>
    <m/>
    <m/>
    <s v="FSDUpdate"/>
  </r>
  <r>
    <s v="P068"/>
    <x v="2"/>
    <d v="2024-12-08T00:00:00"/>
    <x v="2"/>
    <s v="Check out our latest story on instagram!"/>
    <x v="65"/>
    <n v="126"/>
    <n v="288"/>
    <n v="15660"/>
    <n v="15145"/>
    <n v="73"/>
    <s v="#EVRevolution"/>
    <m/>
    <m/>
    <m/>
  </r>
  <r>
    <s v="P069"/>
    <x v="0"/>
    <d v="2025-03-08T00:00:00"/>
    <x v="1"/>
    <s v="Check out our latest text on twitter!"/>
    <x v="66"/>
    <n v="626"/>
    <n v="496"/>
    <n v="25840"/>
    <n v="24916"/>
    <n v="149"/>
    <s v="#FutureOfDriving"/>
    <m/>
    <m/>
    <s v="FSDUpdate"/>
  </r>
  <r>
    <s v="P070"/>
    <x v="3"/>
    <d v="2025-04-02T00:00:00"/>
    <x v="5"/>
    <s v="Check out our latest video on facebook!"/>
    <x v="67"/>
    <n v="772"/>
    <n v="400"/>
    <n v="3582"/>
    <n v="2988"/>
    <n v="43"/>
    <s v="#TeslaCoInnovation"/>
    <m/>
    <m/>
    <m/>
  </r>
  <r>
    <s v="P071"/>
    <x v="1"/>
    <d v="2024-09-02T00:00:00"/>
    <x v="3"/>
    <s v="Check out our latest carousel on youtube!"/>
    <x v="68"/>
    <n v="915"/>
    <n v="205"/>
    <n v="30612"/>
    <n v="30360"/>
    <n v="227"/>
    <s v="#TeslaCoInnovation"/>
    <m/>
    <m/>
    <s v="ModelYCampaign"/>
  </r>
  <r>
    <s v="P072"/>
    <x v="1"/>
    <d v="2025-03-03T00:00:00"/>
    <x v="0"/>
    <s v="Check out our latest reel on youtube!"/>
    <x v="69"/>
    <n v="60"/>
    <n v="141"/>
    <n v="5624"/>
    <n v="5239"/>
    <n v="88"/>
    <s v="#EVRevolution"/>
    <m/>
    <m/>
    <s v="ModelYCampaign"/>
  </r>
  <r>
    <s v="P073"/>
    <x v="3"/>
    <d v="2024-10-18T00:00:00"/>
    <x v="2"/>
    <s v="Check out our latest story on facebook!"/>
    <x v="70"/>
    <n v="426"/>
    <n v="486"/>
    <n v="78394"/>
    <n v="77798"/>
    <n v="88"/>
    <s v="#FutureOfDriving"/>
    <m/>
    <m/>
    <s v="SustainabilityDrive"/>
  </r>
  <r>
    <s v="P074"/>
    <x v="1"/>
    <d v="2024-10-28T00:00:00"/>
    <x v="0"/>
    <s v="Check out our latest reel on youtube!"/>
    <x v="71"/>
    <n v="200"/>
    <n v="174"/>
    <n v="16695"/>
    <n v="16330"/>
    <n v="123"/>
    <s v="#TeslaCoInnovation"/>
    <m/>
    <m/>
    <s v="FSDUpdate"/>
  </r>
  <r>
    <s v="P075"/>
    <x v="2"/>
    <d v="2024-08-01T00:00:00"/>
    <x v="0"/>
    <s v="Check out our latest reel on instagram!"/>
    <x v="72"/>
    <n v="929"/>
    <n v="37"/>
    <n v="21762"/>
    <n v="20998"/>
    <n v="255"/>
    <s v="#TeslaCoInnovation"/>
    <m/>
    <m/>
    <s v="SustainabilityDrive"/>
  </r>
  <r>
    <s v="P076"/>
    <x v="0"/>
    <d v="2024-11-07T00:00:00"/>
    <x v="2"/>
    <s v="Check out our latest story on twitter!"/>
    <x v="73"/>
    <n v="135"/>
    <n v="18"/>
    <n v="15694"/>
    <n v="14957"/>
    <n v="99"/>
    <s v="#TeslaCoInnovation"/>
    <m/>
    <m/>
    <s v="SustainabilityDrive"/>
  </r>
  <r>
    <s v="P077"/>
    <x v="3"/>
    <d v="2025-03-04T00:00:00"/>
    <x v="2"/>
    <s v="Check out our latest story on facebook!"/>
    <x v="74"/>
    <n v="116"/>
    <n v="420"/>
    <n v="8743"/>
    <n v="8538"/>
    <n v="63"/>
    <s v="#TeslaCoInnovation"/>
    <m/>
    <m/>
    <m/>
  </r>
  <r>
    <s v="P078"/>
    <x v="0"/>
    <d v="2024-06-17T00:00:00"/>
    <x v="4"/>
    <s v="Check out our latest image on twitter!"/>
    <x v="75"/>
    <n v="324"/>
    <n v="288"/>
    <n v="19080"/>
    <n v="18859"/>
    <n v="21"/>
    <s v="#FutureOfDriving"/>
    <m/>
    <m/>
    <s v="SustainabilityDrive"/>
  </r>
  <r>
    <s v="P079"/>
    <x v="2"/>
    <d v="2024-10-09T00:00:00"/>
    <x v="3"/>
    <s v="Check out our latest carousel on instagram!"/>
    <x v="76"/>
    <n v="137"/>
    <n v="329"/>
    <n v="39884"/>
    <n v="39404"/>
    <n v="266"/>
    <s v="#EVRevolution"/>
    <m/>
    <m/>
    <s v="ModelYCampaign"/>
  </r>
  <r>
    <s v="P080"/>
    <x v="2"/>
    <d v="2024-06-13T00:00:00"/>
    <x v="2"/>
    <s v="Check out our latest story on instagram!"/>
    <x v="77"/>
    <n v="892"/>
    <n v="103"/>
    <n v="39957"/>
    <n v="39466"/>
    <n v="28"/>
    <s v="#FutureOfDriving"/>
    <m/>
    <m/>
    <m/>
  </r>
  <r>
    <s v="P081"/>
    <x v="2"/>
    <d v="2024-10-19T00:00:00"/>
    <x v="2"/>
    <s v="Check out our latest story on instagram!"/>
    <x v="78"/>
    <n v="29"/>
    <n v="41"/>
    <n v="19976"/>
    <n v="19262"/>
    <n v="283"/>
    <s v="#TeslaCoInnovation"/>
    <m/>
    <m/>
    <s v="FSDUpdate"/>
  </r>
  <r>
    <s v="P082"/>
    <x v="2"/>
    <d v="2024-07-24T00:00:00"/>
    <x v="4"/>
    <s v="Check out our latest image on instagram!"/>
    <x v="79"/>
    <n v="88"/>
    <n v="428"/>
    <n v="14500"/>
    <n v="13637"/>
    <n v="200"/>
    <s v="#FutureOfDriving"/>
    <s v="#TeslaCoInnovation"/>
    <s v="#AnytimeIsTeslaTime"/>
    <s v="FSDUpdate"/>
  </r>
  <r>
    <s v="P083"/>
    <x v="1"/>
    <d v="2024-10-15T00:00:00"/>
    <x v="5"/>
    <s v="Check out our latest video on youtube!"/>
    <x v="80"/>
    <n v="472"/>
    <n v="21"/>
    <n v="9846"/>
    <n v="9609"/>
    <n v="112"/>
    <s v="#EVRevolution"/>
    <m/>
    <m/>
    <m/>
  </r>
  <r>
    <s v="P084"/>
    <x v="3"/>
    <d v="2024-12-09T00:00:00"/>
    <x v="4"/>
    <s v="Check out our latest image on facebook!"/>
    <x v="81"/>
    <n v="851"/>
    <n v="342"/>
    <n v="34979"/>
    <n v="34154"/>
    <n v="255"/>
    <s v="#FutureOfDriving"/>
    <m/>
    <m/>
    <s v="SustainabilityDrive"/>
  </r>
  <r>
    <s v="P085"/>
    <x v="2"/>
    <d v="2025-04-19T00:00:00"/>
    <x v="4"/>
    <s v="Check out our latest image on instagram!"/>
    <x v="82"/>
    <n v="569"/>
    <n v="55"/>
    <n v="25062"/>
    <n v="24847"/>
    <n v="230"/>
    <s v="#FutureOfDriving"/>
    <m/>
    <m/>
    <s v="CybertruckLaunch"/>
  </r>
  <r>
    <s v="P086"/>
    <x v="1"/>
    <d v="2025-01-27T00:00:00"/>
    <x v="1"/>
    <s v="Check out our latest text on youtube!"/>
    <x v="83"/>
    <n v="305"/>
    <n v="85"/>
    <n v="58276"/>
    <n v="58052"/>
    <n v="242"/>
    <s v="#EVRevolution"/>
    <s v="#BetterWithTesla"/>
    <m/>
    <s v="SustainabilityDrive"/>
  </r>
  <r>
    <s v="P087"/>
    <x v="0"/>
    <d v="2024-06-06T00:00:00"/>
    <x v="5"/>
    <s v="Check out our latest video on twitter!"/>
    <x v="84"/>
    <n v="765"/>
    <n v="496"/>
    <n v="12924"/>
    <n v="12701"/>
    <n v="197"/>
    <s v="#FutureOfDriving"/>
    <m/>
    <m/>
    <s v="FSDUpdate"/>
  </r>
  <r>
    <s v="P088"/>
    <x v="3"/>
    <d v="2024-07-07T00:00:00"/>
    <x v="2"/>
    <s v="Check out our latest story on facebook!"/>
    <x v="85"/>
    <n v="47"/>
    <n v="430"/>
    <n v="5738"/>
    <n v="4890"/>
    <n v="25"/>
    <s v="#TeslaCoInnovation"/>
    <m/>
    <m/>
    <s v="SustainabilityDrive"/>
  </r>
  <r>
    <s v="P089"/>
    <x v="0"/>
    <d v="2025-01-10T00:00:00"/>
    <x v="4"/>
    <s v="Check out our latest image on twitter!"/>
    <x v="86"/>
    <n v="249"/>
    <n v="152"/>
    <n v="15498"/>
    <n v="14800"/>
    <n v="180"/>
    <s v="#EVRevolution"/>
    <m/>
    <m/>
    <m/>
  </r>
  <r>
    <s v="P090"/>
    <x v="2"/>
    <d v="2024-06-03T00:00:00"/>
    <x v="4"/>
    <s v="Check out our latest image on instagram!"/>
    <x v="87"/>
    <n v="960"/>
    <n v="101"/>
    <n v="69498"/>
    <n v="68817"/>
    <n v="297"/>
    <s v="#TeslaCoInnovation"/>
    <m/>
    <m/>
    <s v="SustainabilityDrive"/>
  </r>
  <r>
    <s v="P091"/>
    <x v="3"/>
    <d v="2025-03-24T00:00:00"/>
    <x v="4"/>
    <s v="Check out our latest image on facebook!"/>
    <x v="88"/>
    <n v="397"/>
    <n v="357"/>
    <n v="25260"/>
    <n v="24615"/>
    <n v="137"/>
    <s v="#EVRevolution"/>
    <m/>
    <m/>
    <s v="SustainabilityDrive"/>
  </r>
  <r>
    <s v="P092"/>
    <x v="0"/>
    <d v="2024-10-21T00:00:00"/>
    <x v="2"/>
    <s v="Check out our latest story on twitter!"/>
    <x v="89"/>
    <n v="967"/>
    <n v="401"/>
    <n v="38010"/>
    <n v="37625"/>
    <n v="236"/>
    <s v="#FutureOfDriving"/>
    <m/>
    <m/>
    <s v="FSDUpdate"/>
  </r>
  <r>
    <s v="P093"/>
    <x v="2"/>
    <d v="2024-12-11T00:00:00"/>
    <x v="5"/>
    <s v="Check out our latest video on instagram!"/>
    <x v="90"/>
    <n v="951"/>
    <n v="26"/>
    <n v="8586"/>
    <n v="8396"/>
    <n v="150"/>
    <s v="#EVRevolution"/>
    <m/>
    <m/>
    <s v="FSDUpdate"/>
  </r>
  <r>
    <s v="P094"/>
    <x v="2"/>
    <d v="2024-11-07T00:00:00"/>
    <x v="4"/>
    <s v="Check out our latest image on instagram!"/>
    <x v="91"/>
    <n v="304"/>
    <n v="170"/>
    <n v="18529"/>
    <n v="17841"/>
    <n v="46"/>
    <s v="#FutureOfDriving"/>
    <m/>
    <m/>
    <s v="FSDUpdate"/>
  </r>
  <r>
    <s v="P095"/>
    <x v="2"/>
    <d v="2024-11-08T00:00:00"/>
    <x v="1"/>
    <s v="Check out our latest text on instagram!"/>
    <x v="92"/>
    <n v="559"/>
    <n v="160"/>
    <n v="57276"/>
    <n v="56890"/>
    <n v="163"/>
    <s v="#FutureOfDriving"/>
    <m/>
    <m/>
    <s v="SustainabilityDrive"/>
  </r>
  <r>
    <s v="P096"/>
    <x v="0"/>
    <d v="2024-09-10T00:00:00"/>
    <x v="4"/>
    <s v="Check out our latest image on twitter!"/>
    <x v="93"/>
    <n v="366"/>
    <n v="444"/>
    <n v="19808"/>
    <n v="19334"/>
    <n v="123"/>
    <s v="#FutureOfDriving"/>
    <m/>
    <m/>
    <m/>
  </r>
  <r>
    <s v="P097"/>
    <x v="2"/>
    <d v="2024-08-13T00:00:00"/>
    <x v="4"/>
    <s v="Check out our latest image on instagram!"/>
    <x v="94"/>
    <n v="527"/>
    <n v="135"/>
    <n v="61607"/>
    <n v="61333"/>
    <n v="36"/>
    <s v="#TeslaCoInnovation"/>
    <s v="#AnytimeIsTeslaTime"/>
    <m/>
    <s v="ModelYCampaign"/>
  </r>
  <r>
    <s v="P098"/>
    <x v="0"/>
    <d v="2024-06-10T00:00:00"/>
    <x v="2"/>
    <s v="Check out our latest story on twitter!"/>
    <x v="95"/>
    <n v="771"/>
    <n v="486"/>
    <n v="25200"/>
    <n v="24826"/>
    <n v="17"/>
    <s v="#FutureOfDriving"/>
    <m/>
    <m/>
    <s v="SustainabilityDrive"/>
  </r>
  <r>
    <s v="P099"/>
    <x v="1"/>
    <d v="2024-07-02T00:00:00"/>
    <x v="3"/>
    <s v="Check out our latest carousel on youtube!"/>
    <x v="96"/>
    <n v="548"/>
    <n v="86"/>
    <n v="66736"/>
    <n v="66634"/>
    <n v="173"/>
    <s v="#FutureOfDriving"/>
    <m/>
    <m/>
    <s v="FSDUpdate"/>
  </r>
  <r>
    <s v="P100"/>
    <x v="1"/>
    <d v="2025-02-10T00:00:00"/>
    <x v="5"/>
    <s v="Check out our latest video on youtube!"/>
    <x v="97"/>
    <n v="92"/>
    <n v="424"/>
    <n v="24724"/>
    <n v="24333"/>
    <n v="52"/>
    <s v="#EVRevolution"/>
    <m/>
    <m/>
    <m/>
  </r>
  <r>
    <s v="P101"/>
    <x v="1"/>
    <d v="2024-10-18T00:00:00"/>
    <x v="5"/>
    <s v="Check out our latest video on youtube!"/>
    <x v="98"/>
    <n v="983"/>
    <n v="143"/>
    <n v="75650"/>
    <n v="75008"/>
    <n v="12"/>
    <s v="#FutureOfDriving"/>
    <m/>
    <m/>
    <s v="FSDUpdate"/>
  </r>
  <r>
    <s v="P102"/>
    <x v="0"/>
    <d v="2024-09-18T00:00:00"/>
    <x v="0"/>
    <s v="Check out our latest reel on twitter!"/>
    <x v="99"/>
    <n v="978"/>
    <n v="162"/>
    <n v="6000"/>
    <n v="5221"/>
    <n v="223"/>
    <s v="#EVRevolution"/>
    <m/>
    <m/>
    <s v="ModelYCampaign"/>
  </r>
  <r>
    <s v="P103"/>
    <x v="3"/>
    <d v="2024-06-11T00:00:00"/>
    <x v="4"/>
    <s v="Check out our latest image on facebook!"/>
    <x v="100"/>
    <n v="48"/>
    <n v="306"/>
    <n v="40579"/>
    <n v="39588"/>
    <n v="212"/>
    <s v="#EVRevolution"/>
    <m/>
    <m/>
    <s v="ModelYCampaign"/>
  </r>
  <r>
    <s v="P104"/>
    <x v="1"/>
    <d v="2025-03-23T00:00:00"/>
    <x v="2"/>
    <s v="Check out our latest story on youtube!"/>
    <x v="101"/>
    <n v="568"/>
    <n v="286"/>
    <n v="32895"/>
    <n v="32015"/>
    <n v="199"/>
    <s v="#TeslaCoInnovation"/>
    <m/>
    <m/>
    <s v="FSDUpdate"/>
  </r>
  <r>
    <s v="P105"/>
    <x v="2"/>
    <d v="2024-06-14T00:00:00"/>
    <x v="3"/>
    <s v="Check out our latest carousel on instagram!"/>
    <x v="102"/>
    <n v="38"/>
    <n v="42"/>
    <n v="4482"/>
    <n v="3647"/>
    <n v="32"/>
    <s v="#FutureOfDriving"/>
    <m/>
    <m/>
    <s v="CybertruckLaunch"/>
  </r>
  <r>
    <s v="P106"/>
    <x v="2"/>
    <d v="2025-02-04T00:00:00"/>
    <x v="4"/>
    <s v="Check out our latest image on instagram!"/>
    <x v="103"/>
    <n v="821"/>
    <n v="499"/>
    <n v="69285"/>
    <n v="69141"/>
    <n v="298"/>
    <s v="#TeslaCoInnovation"/>
    <m/>
    <m/>
    <s v="SustainabilityDrive"/>
  </r>
  <r>
    <s v="P107"/>
    <x v="1"/>
    <d v="2024-06-21T00:00:00"/>
    <x v="4"/>
    <s v="Check out our latest image on youtube!"/>
    <x v="104"/>
    <n v="893"/>
    <n v="10"/>
    <n v="91808"/>
    <n v="91296"/>
    <n v="182"/>
    <s v="#TeslaCoInnovation"/>
    <m/>
    <m/>
    <m/>
  </r>
  <r>
    <s v="P108"/>
    <x v="0"/>
    <d v="2025-03-25T00:00:00"/>
    <x v="5"/>
    <s v="Check out our latest video on twitter!"/>
    <x v="105"/>
    <n v="871"/>
    <n v="347"/>
    <n v="52650"/>
    <n v="51755"/>
    <n v="209"/>
    <s v="#TeslaCoInnovation"/>
    <m/>
    <m/>
    <s v="ModelYCampaign"/>
  </r>
  <r>
    <s v="P109"/>
    <x v="0"/>
    <d v="2024-08-08T00:00:00"/>
    <x v="2"/>
    <s v="Check out our latest story on twitter!"/>
    <x v="106"/>
    <n v="215"/>
    <n v="413"/>
    <n v="25543"/>
    <n v="24963"/>
    <n v="167"/>
    <s v="#FutureOfDriving"/>
    <m/>
    <m/>
    <s v="FSDUpdate"/>
  </r>
  <r>
    <s v="P110"/>
    <x v="2"/>
    <d v="2024-07-29T00:00:00"/>
    <x v="0"/>
    <s v="Check out our latest reel on instagram!"/>
    <x v="107"/>
    <n v="753"/>
    <n v="482"/>
    <n v="38753"/>
    <n v="38579"/>
    <n v="270"/>
    <s v="#EVRevolution"/>
    <m/>
    <m/>
    <s v="ModelYCampaign"/>
  </r>
  <r>
    <s v="P111"/>
    <x v="1"/>
    <d v="2024-11-23T00:00:00"/>
    <x v="4"/>
    <s v="Check out our latest image on youtube!"/>
    <x v="108"/>
    <n v="17"/>
    <n v="285"/>
    <n v="40785"/>
    <n v="40281"/>
    <n v="40"/>
    <s v="#TeslaCoInnovation"/>
    <m/>
    <m/>
    <s v="ModelYCampaign"/>
  </r>
  <r>
    <s v="P112"/>
    <x v="0"/>
    <d v="2024-10-05T00:00:00"/>
    <x v="2"/>
    <s v="Check out our latest story on twitter!"/>
    <x v="109"/>
    <n v="877"/>
    <n v="238"/>
    <n v="17613"/>
    <n v="16865"/>
    <n v="297"/>
    <s v="#FutureOfDriving"/>
    <m/>
    <m/>
    <s v="FSDUpdate"/>
  </r>
  <r>
    <s v="P113"/>
    <x v="0"/>
    <d v="2024-10-02T00:00:00"/>
    <x v="3"/>
    <s v="Check out our latest carousel on twitter!"/>
    <x v="110"/>
    <n v="236"/>
    <n v="369"/>
    <n v="44190"/>
    <n v="43582"/>
    <n v="10"/>
    <s v="#EVRevolution"/>
    <m/>
    <m/>
    <s v="CybertruckLaunch"/>
  </r>
  <r>
    <s v="P114"/>
    <x v="0"/>
    <d v="2024-11-14T00:00:00"/>
    <x v="2"/>
    <s v="Check out our latest story on twitter!"/>
    <x v="111"/>
    <n v="689"/>
    <n v="488"/>
    <n v="40000"/>
    <n v="39569"/>
    <n v="44"/>
    <s v="#FutureOfDriving"/>
    <m/>
    <m/>
    <s v="CybertruckLaunch"/>
  </r>
  <r>
    <s v="P115"/>
    <x v="0"/>
    <d v="2025-05-11T00:00:00"/>
    <x v="4"/>
    <s v="Check out our latest image on twitter!"/>
    <x v="112"/>
    <n v="97"/>
    <n v="44"/>
    <n v="42381"/>
    <n v="41991"/>
    <n v="242"/>
    <s v="#TeslaCoInnovation"/>
    <s v="#AnytimeIsTeslaTime"/>
    <m/>
    <s v="SustainabilityDrive"/>
  </r>
  <r>
    <s v="P116"/>
    <x v="1"/>
    <d v="2025-03-18T00:00:00"/>
    <x v="0"/>
    <s v="Check out our latest reel on youtube!"/>
    <x v="113"/>
    <n v="186"/>
    <n v="458"/>
    <n v="25928"/>
    <n v="25081"/>
    <n v="131"/>
    <s v="#TeslaCoInnovation"/>
    <m/>
    <m/>
    <m/>
  </r>
  <r>
    <s v="P117"/>
    <x v="0"/>
    <d v="2024-11-04T00:00:00"/>
    <x v="4"/>
    <s v="Check out our latest image on twitter!"/>
    <x v="21"/>
    <n v="451"/>
    <n v="405"/>
    <n v="20878"/>
    <n v="20190"/>
    <n v="219"/>
    <s v="#EVRevolution"/>
    <m/>
    <m/>
    <s v="SustainabilityDrive"/>
  </r>
  <r>
    <s v="P118"/>
    <x v="3"/>
    <d v="2024-11-04T00:00:00"/>
    <x v="4"/>
    <s v="Check out our latest image on facebook!"/>
    <x v="114"/>
    <n v="714"/>
    <n v="207"/>
    <n v="68265"/>
    <n v="67754"/>
    <n v="57"/>
    <s v="#FutureOfDriving"/>
    <m/>
    <m/>
    <s v="FSDUpdate"/>
  </r>
  <r>
    <s v="P119"/>
    <x v="2"/>
    <d v="2025-02-07T00:00:00"/>
    <x v="0"/>
    <s v="Check out our latest reel on instagram!"/>
    <x v="115"/>
    <n v="675"/>
    <n v="478"/>
    <n v="9850"/>
    <n v="8924"/>
    <n v="117"/>
    <s v="#FutureOfDriving"/>
    <m/>
    <m/>
    <m/>
  </r>
  <r>
    <s v="P120"/>
    <x v="3"/>
    <d v="2024-10-21T00:00:00"/>
    <x v="2"/>
    <s v="Check out our latest story on facebook!"/>
    <x v="116"/>
    <n v="928"/>
    <n v="301"/>
    <n v="8580"/>
    <n v="8081"/>
    <n v="91"/>
    <s v="#EVRevolution"/>
    <m/>
    <m/>
    <s v="FSDUpdate"/>
  </r>
  <r>
    <s v="P121"/>
    <x v="2"/>
    <d v="2024-07-29T00:00:00"/>
    <x v="2"/>
    <s v="Check out our latest story on instagram!"/>
    <x v="102"/>
    <n v="701"/>
    <n v="412"/>
    <n v="4980"/>
    <n v="4185"/>
    <n v="185"/>
    <s v="#FutureOfDriving"/>
    <m/>
    <m/>
    <m/>
  </r>
  <r>
    <s v="P122"/>
    <x v="2"/>
    <d v="2024-10-02T00:00:00"/>
    <x v="1"/>
    <s v="Check out our latest text on instagram!"/>
    <x v="117"/>
    <n v="869"/>
    <n v="123"/>
    <n v="54912"/>
    <n v="53916"/>
    <n v="264"/>
    <s v="#EVRevolution"/>
    <m/>
    <m/>
    <s v="ModelYCampaign"/>
  </r>
  <r>
    <s v="P123"/>
    <x v="2"/>
    <d v="2024-06-14T00:00:00"/>
    <x v="2"/>
    <s v="Check out our latest story on instagram!"/>
    <x v="118"/>
    <n v="649"/>
    <n v="140"/>
    <n v="21815"/>
    <n v="21481"/>
    <n v="157"/>
    <s v="#EVRevolution"/>
    <m/>
    <m/>
    <s v="CybertruckLaunch"/>
  </r>
  <r>
    <s v="P124"/>
    <x v="1"/>
    <d v="2025-04-06T00:00:00"/>
    <x v="3"/>
    <s v="Check out our latest carousel on youtube!"/>
    <x v="119"/>
    <n v="771"/>
    <n v="225"/>
    <n v="5152"/>
    <n v="4706"/>
    <n v="19"/>
    <s v="#EVRevolution"/>
    <m/>
    <m/>
    <s v="CybertruckLaunch"/>
  </r>
  <r>
    <s v="P125"/>
    <x v="0"/>
    <d v="2024-09-08T00:00:00"/>
    <x v="3"/>
    <s v="Check out our latest carousel on twitter!"/>
    <x v="120"/>
    <n v="866"/>
    <n v="216"/>
    <n v="34299"/>
    <n v="34088"/>
    <n v="233"/>
    <s v="#TeslaCoInnovation"/>
    <m/>
    <m/>
    <s v="SustainabilityDrive"/>
  </r>
  <r>
    <s v="P126"/>
    <x v="2"/>
    <d v="2025-03-28T00:00:00"/>
    <x v="3"/>
    <s v="Check out our latest carousel on instagram!"/>
    <x v="121"/>
    <n v="167"/>
    <n v="241"/>
    <n v="45738"/>
    <n v="45183"/>
    <n v="142"/>
    <s v="#FutureOfDriving"/>
    <m/>
    <m/>
    <m/>
  </r>
  <r>
    <s v="P127"/>
    <x v="3"/>
    <d v="2025-01-27T00:00:00"/>
    <x v="0"/>
    <s v="Check out our latest reel on facebook!"/>
    <x v="15"/>
    <n v="652"/>
    <n v="442"/>
    <n v="65588"/>
    <n v="65049"/>
    <n v="158"/>
    <s v="#FutureOfDriving"/>
    <m/>
    <m/>
    <s v="FSDUpdate"/>
  </r>
  <r>
    <s v="P128"/>
    <x v="0"/>
    <d v="2025-01-10T00:00:00"/>
    <x v="4"/>
    <s v="Check out our latest image on twitter!"/>
    <x v="122"/>
    <n v="106"/>
    <n v="291"/>
    <n v="27828"/>
    <n v="27217"/>
    <n v="102"/>
    <s v="#FutureOfDriving"/>
    <m/>
    <m/>
    <m/>
  </r>
  <r>
    <s v="P129"/>
    <x v="0"/>
    <d v="2024-07-21T00:00:00"/>
    <x v="1"/>
    <s v="Check out our latest text on twitter!"/>
    <x v="123"/>
    <n v="430"/>
    <n v="393"/>
    <n v="17176"/>
    <n v="16483"/>
    <n v="170"/>
    <s v="#TeslaCoInnovation"/>
    <m/>
    <m/>
    <m/>
  </r>
  <r>
    <s v="P130"/>
    <x v="1"/>
    <d v="2024-09-29T00:00:00"/>
    <x v="0"/>
    <s v="Check out our latest reel on youtube!"/>
    <x v="124"/>
    <n v="439"/>
    <n v="44"/>
    <n v="38168"/>
    <n v="37571"/>
    <n v="22"/>
    <s v="#EVRevolution"/>
    <m/>
    <m/>
    <s v="SustainabilityDrive"/>
  </r>
  <r>
    <s v="P131"/>
    <x v="2"/>
    <d v="2024-10-21T00:00:00"/>
    <x v="0"/>
    <s v="Check out our latest reel on instagram!"/>
    <x v="125"/>
    <n v="658"/>
    <n v="211"/>
    <n v="43560"/>
    <n v="43225"/>
    <n v="57"/>
    <s v="#FutureOfDriving"/>
    <m/>
    <m/>
    <s v="FSDUpdate"/>
  </r>
  <r>
    <s v="P132"/>
    <x v="2"/>
    <d v="2025-03-04T00:00:00"/>
    <x v="2"/>
    <s v="Check out our latest story on instagram!"/>
    <x v="126"/>
    <n v="842"/>
    <n v="101"/>
    <n v="21417"/>
    <n v="20967"/>
    <n v="186"/>
    <s v="#FutureOfDriving"/>
    <m/>
    <m/>
    <s v="ModelYCampaign"/>
  </r>
  <r>
    <s v="P133"/>
    <x v="3"/>
    <d v="2025-02-06T00:00:00"/>
    <x v="4"/>
    <s v="Check out our latest image on facebook!"/>
    <x v="127"/>
    <n v="532"/>
    <n v="71"/>
    <n v="37296"/>
    <n v="36467"/>
    <n v="25"/>
    <s v="#TeslaCoInnovation"/>
    <m/>
    <m/>
    <s v="SustainabilityDrive"/>
  </r>
  <r>
    <s v="P134"/>
    <x v="0"/>
    <d v="2025-04-24T00:00:00"/>
    <x v="0"/>
    <s v="Check out our latest reel on twitter!"/>
    <x v="128"/>
    <n v="115"/>
    <n v="135"/>
    <n v="55965"/>
    <n v="55436"/>
    <n v="103"/>
    <s v="#TeslaCoInnovation"/>
    <m/>
    <m/>
    <s v="CybertruckLaunch"/>
  </r>
  <r>
    <s v="P135"/>
    <x v="3"/>
    <d v="2024-11-28T00:00:00"/>
    <x v="1"/>
    <s v="Check out our latest text on facebook!"/>
    <x v="129"/>
    <n v="253"/>
    <n v="434"/>
    <n v="75834"/>
    <n v="75437"/>
    <n v="272"/>
    <s v="#FutureOfDriving"/>
    <m/>
    <m/>
    <s v="SustainabilityDrive"/>
  </r>
  <r>
    <s v="P136"/>
    <x v="2"/>
    <d v="2024-07-11T00:00:00"/>
    <x v="1"/>
    <s v="Check out our latest text on instagram!"/>
    <x v="130"/>
    <n v="888"/>
    <n v="444"/>
    <n v="21938"/>
    <n v="21337"/>
    <n v="130"/>
    <s v="#EVRevolution"/>
    <m/>
    <m/>
    <s v="SustainabilityDrive"/>
  </r>
  <r>
    <s v="P137"/>
    <x v="3"/>
    <d v="2024-07-31T00:00:00"/>
    <x v="5"/>
    <s v="Check out our latest video on facebook!"/>
    <x v="131"/>
    <n v="94"/>
    <n v="37"/>
    <n v="15040"/>
    <n v="14639"/>
    <n v="277"/>
    <s v="#FutureOfDriving"/>
    <m/>
    <m/>
    <m/>
  </r>
  <r>
    <s v="P138"/>
    <x v="0"/>
    <d v="2025-03-29T00:00:00"/>
    <x v="4"/>
    <s v="Check out our latest image on twitter!"/>
    <x v="132"/>
    <n v="187"/>
    <n v="243"/>
    <n v="4575"/>
    <n v="3704"/>
    <n v="234"/>
    <s v="#FutureOfDriving"/>
    <m/>
    <m/>
    <s v="FSDUpdate"/>
  </r>
  <r>
    <s v="P139"/>
    <x v="1"/>
    <d v="2024-10-29T00:00:00"/>
    <x v="1"/>
    <s v="Check out our latest text on youtube!"/>
    <x v="133"/>
    <n v="156"/>
    <n v="203"/>
    <n v="32952"/>
    <n v="32147"/>
    <n v="147"/>
    <s v="#EVRevolution"/>
    <m/>
    <m/>
    <s v="CybertruckLaunch"/>
  </r>
  <r>
    <s v="P140"/>
    <x v="3"/>
    <d v="2024-07-15T00:00:00"/>
    <x v="4"/>
    <s v="Check out our latest image on facebook!"/>
    <x v="134"/>
    <n v="78"/>
    <n v="485"/>
    <n v="18328"/>
    <n v="18101"/>
    <n v="10"/>
    <s v="#EVRevolution"/>
    <s v="#SmoothLikeNitroTesla"/>
    <m/>
    <s v="ModelYCampaign"/>
  </r>
  <r>
    <s v="P141"/>
    <x v="0"/>
    <d v="2024-08-31T00:00:00"/>
    <x v="4"/>
    <s v="Check out our latest image on twitter!"/>
    <x v="135"/>
    <n v="857"/>
    <n v="379"/>
    <n v="19020"/>
    <n v="18559"/>
    <n v="240"/>
    <s v="#FutureOfDriving"/>
    <m/>
    <m/>
    <m/>
  </r>
  <r>
    <s v="P142"/>
    <x v="1"/>
    <d v="2025-03-25T00:00:00"/>
    <x v="2"/>
    <s v="Check out our latest story on youtube!"/>
    <x v="136"/>
    <n v="275"/>
    <n v="386"/>
    <n v="39330"/>
    <n v="38627"/>
    <n v="114"/>
    <s v="#FutureOfDriving"/>
    <m/>
    <m/>
    <s v="SustainabilityDrive"/>
  </r>
  <r>
    <s v="P143"/>
    <x v="1"/>
    <d v="2024-10-02T00:00:00"/>
    <x v="3"/>
    <s v="Check out our latest carousel on youtube!"/>
    <x v="137"/>
    <n v="362"/>
    <n v="80"/>
    <n v="1040"/>
    <n v="349"/>
    <n v="117"/>
    <s v="#TeslaCoInnovation"/>
    <m/>
    <m/>
    <s v="FSDUpdate"/>
  </r>
  <r>
    <s v="P144"/>
    <x v="1"/>
    <d v="2024-10-28T00:00:00"/>
    <x v="2"/>
    <s v="Check out our latest story on youtube!"/>
    <x v="138"/>
    <n v="749"/>
    <n v="452"/>
    <n v="93651"/>
    <n v="92810"/>
    <n v="66"/>
    <s v="#EVRevolution"/>
    <m/>
    <m/>
    <s v="SustainabilityDrive"/>
  </r>
  <r>
    <s v="P145"/>
    <x v="2"/>
    <d v="2024-08-12T00:00:00"/>
    <x v="3"/>
    <s v="Check out our latest carousel on instagram!"/>
    <x v="139"/>
    <n v="62"/>
    <n v="179"/>
    <n v="37560"/>
    <n v="36874"/>
    <n v="142"/>
    <s v="#TeslaCoInnovation"/>
    <m/>
    <m/>
    <s v="SustainabilityDrive"/>
  </r>
  <r>
    <s v="P146"/>
    <x v="1"/>
    <d v="2024-06-05T00:00:00"/>
    <x v="0"/>
    <s v="Check out our latest reel on youtube!"/>
    <x v="140"/>
    <n v="772"/>
    <n v="142"/>
    <n v="18390"/>
    <n v="17875"/>
    <n v="200"/>
    <s v="#EVRevolution"/>
    <s v="#AnytimeIsTeslaTime"/>
    <m/>
    <m/>
  </r>
  <r>
    <s v="P147"/>
    <x v="2"/>
    <d v="2024-10-21T00:00:00"/>
    <x v="0"/>
    <s v="Check out our latest reel on instagram!"/>
    <x v="141"/>
    <n v="459"/>
    <n v="266"/>
    <n v="26048"/>
    <n v="25529"/>
    <n v="143"/>
    <s v="#TeslaCoInnovation"/>
    <m/>
    <m/>
    <s v="ModelYCampaign"/>
  </r>
  <r>
    <s v="P148"/>
    <x v="2"/>
    <d v="2025-04-15T00:00:00"/>
    <x v="5"/>
    <s v="Check out our latest video on instagram!"/>
    <x v="142"/>
    <n v="466"/>
    <n v="327"/>
    <n v="24798"/>
    <n v="24620"/>
    <n v="176"/>
    <s v="#EVRevolution"/>
    <m/>
    <m/>
    <s v="SustainabilityDrive"/>
  </r>
  <r>
    <s v="P149"/>
    <x v="0"/>
    <d v="2024-06-16T00:00:00"/>
    <x v="5"/>
    <s v="Check out our latest video on twitter!"/>
    <x v="143"/>
    <n v="750"/>
    <n v="179"/>
    <n v="34040"/>
    <n v="33174"/>
    <n v="76"/>
    <s v="#EVRevolution"/>
    <m/>
    <m/>
    <s v="CybertruckLaunch"/>
  </r>
  <r>
    <s v="P150"/>
    <x v="1"/>
    <d v="2024-08-22T00:00:00"/>
    <x v="3"/>
    <s v="Check out our latest carousel on youtube!"/>
    <x v="144"/>
    <n v="853"/>
    <n v="325"/>
    <n v="85900"/>
    <n v="85788"/>
    <n v="290"/>
    <s v="#TeslaCoInnovation"/>
    <m/>
    <m/>
    <s v="SustainabilityDrive"/>
  </r>
  <r>
    <s v="P151"/>
    <x v="2"/>
    <d v="2024-07-26T00:00:00"/>
    <x v="4"/>
    <s v="Check out our latest image on instagram!"/>
    <x v="145"/>
    <n v="59"/>
    <n v="289"/>
    <n v="35590"/>
    <n v="35105"/>
    <n v="122"/>
    <s v="#EVRevolution"/>
    <m/>
    <m/>
    <s v="CybertruckLaunch"/>
  </r>
  <r>
    <s v="P152"/>
    <x v="3"/>
    <d v="2025-04-22T00:00:00"/>
    <x v="4"/>
    <s v="Check out our latest image on facebook!"/>
    <x v="146"/>
    <n v="550"/>
    <n v="270"/>
    <n v="28824"/>
    <n v="28370"/>
    <n v="47"/>
    <s v="#EVRevolution"/>
    <m/>
    <m/>
    <s v="SustainabilityDrive"/>
  </r>
  <r>
    <s v="P153"/>
    <x v="0"/>
    <d v="2025-01-01T00:00:00"/>
    <x v="5"/>
    <s v="Check out our latest video on twitter!"/>
    <x v="147"/>
    <n v="197"/>
    <n v="257"/>
    <n v="6786"/>
    <n v="6221"/>
    <n v="212"/>
    <s v="#TeslaCoInnovation"/>
    <m/>
    <m/>
    <s v="FSDUpdate"/>
  </r>
  <r>
    <s v="P154"/>
    <x v="2"/>
    <d v="2024-10-09T00:00:00"/>
    <x v="3"/>
    <s v="Check out our latest carousel on instagram!"/>
    <x v="148"/>
    <n v="932"/>
    <n v="287"/>
    <n v="6895"/>
    <n v="6757"/>
    <n v="64"/>
    <s v="#FutureOfDriving"/>
    <m/>
    <m/>
    <s v="SustainabilityDrive"/>
  </r>
  <r>
    <s v="P155"/>
    <x v="1"/>
    <d v="2024-12-21T00:00:00"/>
    <x v="4"/>
    <s v="Check out our latest image on youtube!"/>
    <x v="149"/>
    <n v="210"/>
    <n v="130"/>
    <n v="22830"/>
    <n v="22617"/>
    <n v="143"/>
    <s v="#FutureOfDriving"/>
    <m/>
    <m/>
    <s v="ModelYCampaign"/>
  </r>
  <r>
    <s v="P156"/>
    <x v="3"/>
    <d v="2024-10-22T00:00:00"/>
    <x v="3"/>
    <s v="Check out our latest carousel on facebook!"/>
    <x v="150"/>
    <n v="941"/>
    <n v="482"/>
    <n v="43576"/>
    <n v="43338"/>
    <n v="240"/>
    <s v="#FutureOfDriving"/>
    <m/>
    <m/>
    <s v="ModelYCampaign"/>
  </r>
  <r>
    <s v="P157"/>
    <x v="1"/>
    <d v="2024-07-23T00:00:00"/>
    <x v="2"/>
    <s v="Check out our latest story on youtube!"/>
    <x v="151"/>
    <n v="173"/>
    <n v="206"/>
    <n v="47750"/>
    <n v="47544"/>
    <n v="187"/>
    <s v="#FutureOfDriving"/>
    <m/>
    <m/>
    <s v="ModelYCampaign"/>
  </r>
  <r>
    <s v="P158"/>
    <x v="2"/>
    <d v="2024-08-11T00:00:00"/>
    <x v="2"/>
    <s v="Check out our latest story on instagram!"/>
    <x v="152"/>
    <n v="405"/>
    <n v="423"/>
    <n v="22906"/>
    <n v="21925"/>
    <n v="25"/>
    <s v="#TeslaCoInnovation"/>
    <m/>
    <m/>
    <s v="CybertruckLaunch"/>
  </r>
  <r>
    <s v="P159"/>
    <x v="3"/>
    <d v="2024-11-25T00:00:00"/>
    <x v="2"/>
    <s v="Check out our latest story on facebook!"/>
    <x v="153"/>
    <n v="158"/>
    <n v="488"/>
    <n v="12720"/>
    <n v="12085"/>
    <n v="17"/>
    <s v="#FutureOfDriving"/>
    <m/>
    <m/>
    <s v="ModelYCampaign"/>
  </r>
  <r>
    <s v="P160"/>
    <x v="0"/>
    <d v="2024-08-24T00:00:00"/>
    <x v="5"/>
    <s v="Check out our latest video on twitter!"/>
    <x v="154"/>
    <n v="209"/>
    <n v="484"/>
    <n v="19476"/>
    <n v="18654"/>
    <n v="20"/>
    <s v="#TeslaCoInnovation"/>
    <m/>
    <m/>
    <m/>
  </r>
  <r>
    <s v="P161"/>
    <x v="0"/>
    <d v="2025-02-19T00:00:00"/>
    <x v="1"/>
    <s v="Check out our latest text on twitter!"/>
    <x v="155"/>
    <n v="876"/>
    <n v="366"/>
    <n v="51381"/>
    <n v="50565"/>
    <n v="245"/>
    <s v="#TeslaCoInnovation"/>
    <m/>
    <m/>
    <s v="SustainabilityDrive"/>
  </r>
  <r>
    <s v="P162"/>
    <x v="3"/>
    <d v="2025-04-01T00:00:00"/>
    <x v="2"/>
    <s v="Check out our latest story on facebook!"/>
    <x v="156"/>
    <n v="566"/>
    <n v="164"/>
    <n v="48020"/>
    <n v="47305"/>
    <n v="120"/>
    <s v="#FutureOfDriving"/>
    <m/>
    <m/>
    <m/>
  </r>
  <r>
    <s v="P163"/>
    <x v="2"/>
    <d v="2025-04-08T00:00:00"/>
    <x v="4"/>
    <s v="Check out our latest image on instagram!"/>
    <x v="157"/>
    <n v="375"/>
    <n v="323"/>
    <n v="22505"/>
    <n v="21836"/>
    <n v="132"/>
    <s v="#TeslaCoInnovation"/>
    <m/>
    <m/>
    <s v="ModelYCampaign"/>
  </r>
  <r>
    <s v="P164"/>
    <x v="1"/>
    <d v="2025-02-27T00:00:00"/>
    <x v="1"/>
    <s v="Check out our latest text on youtube!"/>
    <x v="158"/>
    <n v="971"/>
    <n v="156"/>
    <n v="39472"/>
    <n v="39025"/>
    <n v="169"/>
    <s v="#TeslaCoInnovation"/>
    <s v="#AnytimeIsTeslaTime"/>
    <m/>
    <s v="SustainabilityDrive"/>
  </r>
  <r>
    <s v="P165"/>
    <x v="0"/>
    <d v="2024-12-11T00:00:00"/>
    <x v="1"/>
    <s v="Check out our latest text on twitter!"/>
    <x v="159"/>
    <n v="43"/>
    <n v="211"/>
    <n v="22673"/>
    <n v="22171"/>
    <n v="230"/>
    <s v="#TeslaCoInnovation"/>
    <m/>
    <m/>
    <s v="ModelYCampaign"/>
  </r>
  <r>
    <s v="P166"/>
    <x v="0"/>
    <d v="2025-02-16T00:00:00"/>
    <x v="0"/>
    <s v="Check out our latest reel on twitter!"/>
    <x v="160"/>
    <n v="313"/>
    <n v="306"/>
    <n v="11836"/>
    <n v="11596"/>
    <n v="104"/>
    <s v="#FutureOfDriving"/>
    <m/>
    <m/>
    <s v="CybertruckLaunch"/>
  </r>
  <r>
    <s v="P167"/>
    <x v="2"/>
    <d v="2024-11-28T00:00:00"/>
    <x v="1"/>
    <s v="Check out our latest text on instagram!"/>
    <x v="161"/>
    <n v="818"/>
    <n v="56"/>
    <n v="57252"/>
    <n v="56378"/>
    <n v="150"/>
    <s v="#FutureOfDriving"/>
    <m/>
    <m/>
    <m/>
  </r>
  <r>
    <s v="P168"/>
    <x v="3"/>
    <d v="2024-11-12T00:00:00"/>
    <x v="1"/>
    <s v="Check out our latest text on facebook!"/>
    <x v="162"/>
    <n v="754"/>
    <n v="54"/>
    <n v="43524"/>
    <n v="42743"/>
    <n v="182"/>
    <s v="#EVRevolution"/>
    <m/>
    <m/>
    <s v="CybertruckLaunch"/>
  </r>
  <r>
    <s v="P169"/>
    <x v="1"/>
    <d v="2024-12-03T00:00:00"/>
    <x v="5"/>
    <s v="Check out our latest video on youtube!"/>
    <x v="163"/>
    <n v="273"/>
    <n v="200"/>
    <n v="34281"/>
    <n v="33534"/>
    <n v="83"/>
    <s v="#EVRevolution"/>
    <m/>
    <m/>
    <s v="CybertruckLaunch"/>
  </r>
  <r>
    <s v="P170"/>
    <x v="0"/>
    <d v="2025-04-28T00:00:00"/>
    <x v="1"/>
    <s v="Check out our latest text on twitter!"/>
    <x v="164"/>
    <n v="596"/>
    <n v="493"/>
    <n v="67963"/>
    <n v="67839"/>
    <n v="53"/>
    <s v="#TeslaCoInnovation"/>
    <m/>
    <m/>
    <s v="FSDUpdate"/>
  </r>
  <r>
    <s v="P171"/>
    <x v="1"/>
    <d v="2024-12-31T00:00:00"/>
    <x v="5"/>
    <s v="Check out our latest video on youtube!"/>
    <x v="165"/>
    <n v="447"/>
    <n v="332"/>
    <n v="18324"/>
    <n v="18164"/>
    <n v="38"/>
    <s v="#FutureOfDriving"/>
    <m/>
    <m/>
    <s v="ModelYCampaign"/>
  </r>
  <r>
    <s v="P172"/>
    <x v="3"/>
    <d v="2024-08-14T00:00:00"/>
    <x v="3"/>
    <s v="Check out our latest carousel on facebook!"/>
    <x v="166"/>
    <n v="553"/>
    <n v="174"/>
    <n v="52241"/>
    <n v="51605"/>
    <n v="246"/>
    <s v="#EVRevolution"/>
    <m/>
    <m/>
    <s v="FSDUpdate"/>
  </r>
  <r>
    <s v="P173"/>
    <x v="0"/>
    <d v="2024-12-05T00:00:00"/>
    <x v="5"/>
    <s v="Check out our latest video on twitter!"/>
    <x v="167"/>
    <n v="925"/>
    <n v="35"/>
    <n v="15960"/>
    <n v="15379"/>
    <n v="229"/>
    <s v="#FutureOfDriving"/>
    <m/>
    <m/>
    <s v="FSDUpdate"/>
  </r>
  <r>
    <s v="P174"/>
    <x v="3"/>
    <d v="2024-06-22T00:00:00"/>
    <x v="1"/>
    <s v="Check out our latest text on facebook!"/>
    <x v="168"/>
    <n v="148"/>
    <n v="253"/>
    <n v="30624"/>
    <n v="30229"/>
    <n v="235"/>
    <s v="#EVRevolution"/>
    <m/>
    <m/>
    <m/>
  </r>
  <r>
    <s v="P175"/>
    <x v="2"/>
    <d v="2025-01-17T00:00:00"/>
    <x v="0"/>
    <s v="Check out our latest reel on instagram!"/>
    <x v="169"/>
    <n v="784"/>
    <n v="183"/>
    <n v="1704"/>
    <n v="995"/>
    <n v="154"/>
    <s v="#FutureOfDriving"/>
    <m/>
    <m/>
    <s v="SustainabilityDrive"/>
  </r>
  <r>
    <s v="P176"/>
    <x v="3"/>
    <d v="2024-06-20T00:00:00"/>
    <x v="5"/>
    <s v="Check out our latest video on facebook!"/>
    <x v="170"/>
    <n v="31"/>
    <n v="279"/>
    <n v="75960"/>
    <n v="75813"/>
    <n v="266"/>
    <s v="#TeslaCoInnovation"/>
    <m/>
    <m/>
    <s v="CybertruckLaunch"/>
  </r>
  <r>
    <s v="P177"/>
    <x v="2"/>
    <d v="2024-07-10T00:00:00"/>
    <x v="3"/>
    <s v="Check out our latest carousel on instagram!"/>
    <x v="171"/>
    <n v="694"/>
    <n v="171"/>
    <n v="43386"/>
    <n v="42921"/>
    <n v="52"/>
    <s v="#TeslaCoInnovation"/>
    <m/>
    <m/>
    <s v="FSDUpdate"/>
  </r>
  <r>
    <s v="P178"/>
    <x v="2"/>
    <d v="2024-11-07T00:00:00"/>
    <x v="5"/>
    <s v="Check out our latest video on instagram!"/>
    <x v="172"/>
    <n v="643"/>
    <n v="136"/>
    <n v="1290"/>
    <n v="839"/>
    <n v="238"/>
    <s v="#TeslaCoInnovation"/>
    <m/>
    <m/>
    <s v="SustainabilityDrive"/>
  </r>
  <r>
    <s v="P179"/>
    <x v="3"/>
    <d v="2024-07-15T00:00:00"/>
    <x v="3"/>
    <s v="Check out our latest carousel on facebook!"/>
    <x v="173"/>
    <n v="667"/>
    <n v="395"/>
    <n v="64532"/>
    <n v="63550"/>
    <n v="292"/>
    <s v="#TeslaCoInnovation"/>
    <m/>
    <m/>
    <m/>
  </r>
  <r>
    <s v="P180"/>
    <x v="1"/>
    <d v="2024-12-03T00:00:00"/>
    <x v="1"/>
    <s v="Check out our latest text on youtube!"/>
    <x v="174"/>
    <n v="352"/>
    <n v="290"/>
    <n v="48243"/>
    <n v="47579"/>
    <n v="11"/>
    <s v="#TeslaCoInnovation"/>
    <m/>
    <m/>
    <s v="CybertruckLaunch"/>
  </r>
  <r>
    <s v="P181"/>
    <x v="1"/>
    <d v="2025-03-21T00:00:00"/>
    <x v="4"/>
    <s v="Check out our latest image on youtube!"/>
    <x v="175"/>
    <n v="789"/>
    <n v="470"/>
    <n v="7878"/>
    <n v="7389"/>
    <n v="239"/>
    <s v="#EVRevolution"/>
    <m/>
    <m/>
    <s v="FSDUpdate"/>
  </r>
  <r>
    <s v="P182"/>
    <x v="3"/>
    <d v="2024-07-31T00:00:00"/>
    <x v="4"/>
    <s v="Check out our latest image on facebook!"/>
    <x v="176"/>
    <n v="134"/>
    <n v="403"/>
    <n v="51579"/>
    <n v="50924"/>
    <n v="173"/>
    <s v="#TeslaCoInnovation"/>
    <m/>
    <m/>
    <s v="SustainabilityDrive"/>
  </r>
  <r>
    <s v="P183"/>
    <x v="2"/>
    <d v="2024-12-17T00:00:00"/>
    <x v="2"/>
    <s v="Check out our latest story on instagram!"/>
    <x v="177"/>
    <n v="590"/>
    <n v="393"/>
    <n v="4680"/>
    <n v="4322"/>
    <n v="208"/>
    <s v="#FutureOfDriving"/>
    <m/>
    <m/>
    <s v="ModelYCampaign"/>
  </r>
  <r>
    <s v="P184"/>
    <x v="0"/>
    <d v="2024-07-28T00:00:00"/>
    <x v="4"/>
    <s v="Check out our latest image on twitter!"/>
    <x v="178"/>
    <n v="960"/>
    <n v="202"/>
    <n v="32150"/>
    <n v="31404"/>
    <n v="251"/>
    <s v="#EVRevolution"/>
    <m/>
    <m/>
    <s v="CybertruckLaunch"/>
  </r>
  <r>
    <s v="P185"/>
    <x v="2"/>
    <d v="2025-01-11T00:00:00"/>
    <x v="3"/>
    <s v="Check out our latest carousel on instagram!"/>
    <x v="179"/>
    <n v="61"/>
    <n v="157"/>
    <n v="49753"/>
    <n v="49329"/>
    <n v="71"/>
    <s v="#EVRevolution"/>
    <m/>
    <m/>
    <m/>
  </r>
  <r>
    <s v="P186"/>
    <x v="3"/>
    <d v="2024-08-24T00:00:00"/>
    <x v="3"/>
    <s v="Check out our latest carousel on facebook!"/>
    <x v="180"/>
    <n v="51"/>
    <n v="392"/>
    <n v="55796"/>
    <n v="54826"/>
    <n v="264"/>
    <s v="#EVRevolution"/>
    <m/>
    <m/>
    <s v="FSDUpdate"/>
  </r>
  <r>
    <s v="P187"/>
    <x v="0"/>
    <d v="2024-12-22T00:00:00"/>
    <x v="0"/>
    <s v="Check out our latest reel on twitter!"/>
    <x v="181"/>
    <n v="546"/>
    <n v="150"/>
    <n v="27948"/>
    <n v="27184"/>
    <n v="300"/>
    <s v="#EVRevolution"/>
    <m/>
    <m/>
    <s v="FSDUpdate"/>
  </r>
  <r>
    <s v="P188"/>
    <x v="1"/>
    <d v="2024-06-06T00:00:00"/>
    <x v="0"/>
    <s v="Check out our latest reel on youtube!"/>
    <x v="182"/>
    <n v="533"/>
    <n v="215"/>
    <n v="40920"/>
    <n v="40816"/>
    <n v="137"/>
    <s v="#FutureOfDriving"/>
    <m/>
    <m/>
    <s v="ModelYCampaign"/>
  </r>
  <r>
    <s v="P189"/>
    <x v="3"/>
    <d v="2025-03-24T00:00:00"/>
    <x v="0"/>
    <s v="Check out our latest reel on facebook!"/>
    <x v="183"/>
    <n v="525"/>
    <n v="500"/>
    <n v="60480"/>
    <n v="59610"/>
    <n v="192"/>
    <s v="#TeslaCoInnovation"/>
    <m/>
    <m/>
    <s v="CybertruckLaunch"/>
  </r>
  <r>
    <s v="P190"/>
    <x v="1"/>
    <d v="2024-10-04T00:00:00"/>
    <x v="1"/>
    <s v="Check out our latest text on youtube!"/>
    <x v="184"/>
    <n v="213"/>
    <n v="19"/>
    <n v="39260"/>
    <n v="38771"/>
    <n v="145"/>
    <s v="#FutureOfDriving"/>
    <m/>
    <m/>
    <m/>
  </r>
  <r>
    <s v="P191"/>
    <x v="1"/>
    <d v="2024-12-03T00:00:00"/>
    <x v="2"/>
    <s v="Check out our latest story on youtube!"/>
    <x v="185"/>
    <n v="886"/>
    <n v="376"/>
    <n v="55705"/>
    <n v="55556"/>
    <n v="51"/>
    <s v="#FutureOfDriving"/>
    <m/>
    <m/>
    <s v="FSDUpdate"/>
  </r>
  <r>
    <s v="P192"/>
    <x v="2"/>
    <d v="2024-11-29T00:00:00"/>
    <x v="5"/>
    <s v="Check out our latest video on instagram!"/>
    <x v="186"/>
    <n v="464"/>
    <n v="394"/>
    <n v="14112"/>
    <n v="13588"/>
    <n v="272"/>
    <s v="#EVRevolution"/>
    <m/>
    <m/>
    <m/>
  </r>
  <r>
    <s v="P193"/>
    <x v="0"/>
    <d v="2024-09-11T00:00:00"/>
    <x v="4"/>
    <s v="Check out our latest image on twitter!"/>
    <x v="187"/>
    <n v="317"/>
    <n v="129"/>
    <n v="53438"/>
    <n v="52687"/>
    <n v="223"/>
    <s v="#EVRevolution"/>
    <m/>
    <m/>
    <s v="FSDUpdate"/>
  </r>
  <r>
    <s v="P194"/>
    <x v="1"/>
    <d v="2024-10-02T00:00:00"/>
    <x v="2"/>
    <s v="Check out our latest story on youtube!"/>
    <x v="188"/>
    <n v="771"/>
    <n v="7"/>
    <n v="60900"/>
    <n v="60592"/>
    <n v="195"/>
    <s v="#EVRevolution"/>
    <m/>
    <m/>
    <s v="CybertruckLaunch"/>
  </r>
  <r>
    <s v="P195"/>
    <x v="2"/>
    <d v="2024-08-15T00:00:00"/>
    <x v="3"/>
    <s v="Check out our latest carousel on instagram!"/>
    <x v="189"/>
    <n v="464"/>
    <n v="246"/>
    <n v="11882"/>
    <n v="11500"/>
    <n v="282"/>
    <s v="#FutureOfDriving"/>
    <s v="#TeslaCoInnovation"/>
    <s v="#AnytimeIsTeslaTime"/>
    <s v="SustainabilityDrive"/>
  </r>
  <r>
    <s v="P196"/>
    <x v="2"/>
    <d v="2024-12-19T00:00:00"/>
    <x v="1"/>
    <s v="Check out our latest text on instagram!"/>
    <x v="190"/>
    <n v="623"/>
    <n v="72"/>
    <n v="19943"/>
    <n v="18959"/>
    <n v="85"/>
    <s v="#EVRevolution"/>
    <m/>
    <m/>
    <s v="FSDUpdate"/>
  </r>
  <r>
    <s v="P197"/>
    <x v="0"/>
    <d v="2024-10-22T00:00:00"/>
    <x v="0"/>
    <s v="Check out our latest reel on twitter!"/>
    <x v="191"/>
    <n v="721"/>
    <n v="82"/>
    <n v="86076"/>
    <n v="85339"/>
    <n v="19"/>
    <s v="#EVRevolution"/>
    <m/>
    <m/>
    <s v="CybertruckLaunch"/>
  </r>
  <r>
    <s v="P198"/>
    <x v="0"/>
    <d v="2024-09-14T00:00:00"/>
    <x v="4"/>
    <s v="Check out our latest image on twitter!"/>
    <x v="192"/>
    <n v="374"/>
    <n v="450"/>
    <n v="9432"/>
    <n v="8882"/>
    <n v="158"/>
    <s v="#TeslaCoInnovation"/>
    <m/>
    <m/>
    <s v="FSDUpdate"/>
  </r>
  <r>
    <s v="P199"/>
    <x v="1"/>
    <d v="2024-11-30T00:00:00"/>
    <x v="3"/>
    <s v="Check out our latest carousel on youtube!"/>
    <x v="193"/>
    <n v="324"/>
    <n v="171"/>
    <n v="35126"/>
    <n v="34685"/>
    <n v="277"/>
    <s v="#TeslaCoInnovation"/>
    <m/>
    <m/>
    <s v="ModelYCampaign"/>
  </r>
  <r>
    <s v="P200"/>
    <x v="3"/>
    <d v="2025-04-07T00:00:00"/>
    <x v="0"/>
    <s v="Check out our latest reel on facebook!"/>
    <x v="194"/>
    <n v="385"/>
    <n v="310"/>
    <n v="70642"/>
    <n v="69749"/>
    <n v="233"/>
    <s v="#TeslaCoInnovation"/>
    <m/>
    <m/>
    <s v="ModelYCampaign"/>
  </r>
  <r>
    <s v="P201"/>
    <x v="0"/>
    <d v="2025-01-15T00:00:00"/>
    <x v="0"/>
    <s v="Check out our latest reel on twitter!"/>
    <x v="195"/>
    <n v="262"/>
    <n v="244"/>
    <n v="14436"/>
    <n v="14280"/>
    <n v="49"/>
    <s v="#EVRevolution"/>
    <m/>
    <m/>
    <s v="CybertruckLaunch"/>
  </r>
  <r>
    <s v="P202"/>
    <x v="3"/>
    <d v="2024-06-02T00:00:00"/>
    <x v="4"/>
    <s v="Check out our latest image on facebook!"/>
    <x v="196"/>
    <n v="252"/>
    <n v="335"/>
    <n v="29936"/>
    <n v="29576"/>
    <n v="288"/>
    <s v="#EVRevolution"/>
    <m/>
    <m/>
    <s v="FSDUpdate"/>
  </r>
  <r>
    <s v="P203"/>
    <x v="2"/>
    <d v="2024-11-21T00:00:00"/>
    <x v="3"/>
    <s v="Check out our latest carousel on instagram!"/>
    <x v="197"/>
    <n v="299"/>
    <n v="38"/>
    <n v="71687"/>
    <n v="71447"/>
    <n v="286"/>
    <s v="#FutureOfDriving"/>
    <m/>
    <m/>
    <s v="CybertruckLaunch"/>
  </r>
  <r>
    <s v="P204"/>
    <x v="2"/>
    <d v="2025-01-01T00:00:00"/>
    <x v="3"/>
    <s v="Check out our latest carousel on instagram!"/>
    <x v="198"/>
    <n v="653"/>
    <n v="432"/>
    <n v="11170"/>
    <n v="10569"/>
    <n v="198"/>
    <s v="#FutureOfDriving"/>
    <m/>
    <m/>
    <s v="FSDUpdate"/>
  </r>
  <r>
    <s v="P205"/>
    <x v="0"/>
    <d v="2025-04-24T00:00:00"/>
    <x v="5"/>
    <s v="Check out our latest video on twitter!"/>
    <x v="199"/>
    <n v="697"/>
    <n v="268"/>
    <n v="45840"/>
    <n v="45631"/>
    <n v="171"/>
    <s v="#TeslaCoInnovation"/>
    <s v="#SmoothLikeNitroTesla"/>
    <m/>
    <s v="SustainabilityDrive"/>
  </r>
  <r>
    <s v="P206"/>
    <x v="0"/>
    <d v="2024-06-24T00:00:00"/>
    <x v="1"/>
    <s v="Check out our latest text on twitter!"/>
    <x v="200"/>
    <n v="121"/>
    <n v="458"/>
    <n v="14115"/>
    <n v="13838"/>
    <n v="87"/>
    <s v="#EVRevolution"/>
    <m/>
    <m/>
    <s v="CybertruckLaunch"/>
  </r>
  <r>
    <s v="P207"/>
    <x v="0"/>
    <d v="2024-12-29T00:00:00"/>
    <x v="3"/>
    <s v="Check out our latest carousel on twitter!"/>
    <x v="201"/>
    <n v="340"/>
    <n v="281"/>
    <n v="34192"/>
    <n v="33446"/>
    <n v="129"/>
    <s v="#TeslaCoInnovation"/>
    <s v="#SmoothLikeNitroTesla"/>
    <m/>
    <s v="FSDUpdate"/>
  </r>
  <r>
    <s v="P208"/>
    <x v="1"/>
    <d v="2024-06-24T00:00:00"/>
    <x v="5"/>
    <s v="Check out our latest video on youtube!"/>
    <x v="202"/>
    <n v="476"/>
    <n v="403"/>
    <n v="44235"/>
    <n v="43705"/>
    <n v="135"/>
    <s v="#TeslaCoInnovation"/>
    <m/>
    <m/>
    <s v="ModelYCampaign"/>
  </r>
  <r>
    <s v="P209"/>
    <x v="0"/>
    <d v="2025-03-19T00:00:00"/>
    <x v="5"/>
    <s v="Check out our latest video on twitter!"/>
    <x v="203"/>
    <n v="204"/>
    <n v="297"/>
    <n v="44240"/>
    <n v="43666"/>
    <n v="49"/>
    <s v="#FutureOfDriving"/>
    <s v="#AnytimeIsTeslaTime"/>
    <m/>
    <s v="SustainabilityDrive"/>
  </r>
  <r>
    <s v="P210"/>
    <x v="1"/>
    <d v="2025-02-19T00:00:00"/>
    <x v="4"/>
    <s v="Check out our latest image on youtube!"/>
    <x v="204"/>
    <n v="966"/>
    <n v="398"/>
    <n v="3341"/>
    <n v="2753"/>
    <n v="287"/>
    <s v="#FutureOfDriving"/>
    <m/>
    <m/>
    <s v="CybertruckLaunch"/>
  </r>
  <r>
    <s v="P211"/>
    <x v="0"/>
    <d v="2024-07-18T00:00:00"/>
    <x v="3"/>
    <s v="Check out our latest carousel on twitter!"/>
    <x v="153"/>
    <n v="38"/>
    <n v="212"/>
    <n v="12720"/>
    <n v="12564"/>
    <n v="21"/>
    <s v="#FutureOfDriving"/>
    <m/>
    <m/>
    <s v="SustainabilityDrive"/>
  </r>
  <r>
    <s v="P212"/>
    <x v="1"/>
    <d v="2025-03-03T00:00:00"/>
    <x v="5"/>
    <s v="Check out our latest video on youtube!"/>
    <x v="205"/>
    <n v="884"/>
    <n v="19"/>
    <n v="38740"/>
    <n v="38552"/>
    <n v="219"/>
    <s v="#TeslaCoInnovation"/>
    <m/>
    <m/>
    <s v="ModelYCampaign"/>
  </r>
  <r>
    <s v="P213"/>
    <x v="3"/>
    <d v="2025-05-01T00:00:00"/>
    <x v="3"/>
    <s v="Check out our latest carousel on facebook!"/>
    <x v="206"/>
    <n v="628"/>
    <n v="443"/>
    <n v="45832"/>
    <n v="45632"/>
    <n v="248"/>
    <s v="#EVRevolution"/>
    <m/>
    <m/>
    <s v="SustainabilityDrive"/>
  </r>
  <r>
    <s v="P214"/>
    <x v="2"/>
    <d v="2024-12-23T00:00:00"/>
    <x v="4"/>
    <s v="Check out our latest image on instagram!"/>
    <x v="207"/>
    <n v="746"/>
    <n v="315"/>
    <n v="4168"/>
    <n v="3399"/>
    <n v="282"/>
    <s v="#FutureOfDriving"/>
    <m/>
    <m/>
    <s v="ModelYCampaign"/>
  </r>
  <r>
    <s v="P215"/>
    <x v="3"/>
    <d v="2025-05-06T00:00:00"/>
    <x v="4"/>
    <s v="Check out our latest image on facebook!"/>
    <x v="208"/>
    <n v="925"/>
    <n v="176"/>
    <n v="82824"/>
    <n v="82543"/>
    <n v="89"/>
    <s v="#EVRevolution"/>
    <m/>
    <m/>
    <s v="ModelYCampaign"/>
  </r>
  <r>
    <s v="P216"/>
    <x v="1"/>
    <d v="2024-07-29T00:00:00"/>
    <x v="2"/>
    <s v="Check out our latest story on youtube!"/>
    <x v="209"/>
    <n v="88"/>
    <n v="163"/>
    <n v="30180"/>
    <n v="29689"/>
    <n v="119"/>
    <s v="#EVRevolution"/>
    <m/>
    <m/>
    <s v="ModelYCampaign"/>
  </r>
  <r>
    <s v="P217"/>
    <x v="3"/>
    <d v="2024-12-03T00:00:00"/>
    <x v="4"/>
    <s v="Check out our latest image on facebook!"/>
    <x v="210"/>
    <n v="931"/>
    <n v="230"/>
    <n v="92120"/>
    <n v="91440"/>
    <n v="56"/>
    <s v="#TeslaCoInnovation"/>
    <m/>
    <m/>
    <m/>
  </r>
  <r>
    <s v="P218"/>
    <x v="3"/>
    <d v="2024-06-11T00:00:00"/>
    <x v="3"/>
    <s v="Check out our latest carousel on facebook!"/>
    <x v="211"/>
    <n v="453"/>
    <n v="490"/>
    <n v="14952"/>
    <n v="14309"/>
    <n v="275"/>
    <s v="#TeslaCoInnovation"/>
    <m/>
    <m/>
    <s v="SustainabilityDrive"/>
  </r>
  <r>
    <s v="P219"/>
    <x v="0"/>
    <d v="2025-01-28T00:00:00"/>
    <x v="0"/>
    <s v="Check out our latest reel on twitter!"/>
    <x v="212"/>
    <n v="470"/>
    <n v="174"/>
    <n v="7128"/>
    <n v="6145"/>
    <n v="270"/>
    <s v="#TeslaCoInnovation"/>
    <m/>
    <m/>
    <s v="SustainabilityDrive"/>
  </r>
  <r>
    <s v="P220"/>
    <x v="2"/>
    <d v="2024-06-02T00:00:00"/>
    <x v="2"/>
    <s v="Check out our latest story on instagram!"/>
    <x v="213"/>
    <n v="897"/>
    <n v="85"/>
    <n v="588"/>
    <n v="8"/>
    <n v="12"/>
    <s v="#EVRevolution"/>
    <m/>
    <m/>
    <m/>
  </r>
  <r>
    <s v="P221"/>
    <x v="3"/>
    <d v="2025-03-23T00:00:00"/>
    <x v="5"/>
    <s v="Check out our latest video on facebook!"/>
    <x v="214"/>
    <n v="111"/>
    <n v="420"/>
    <n v="31171"/>
    <n v="30565"/>
    <n v="23"/>
    <s v="#TeslaCoInnovation"/>
    <m/>
    <m/>
    <m/>
  </r>
  <r>
    <s v="P222"/>
    <x v="3"/>
    <d v="2024-10-08T00:00:00"/>
    <x v="0"/>
    <s v="Check out our latest reel on facebook!"/>
    <x v="215"/>
    <n v="653"/>
    <n v="363"/>
    <n v="25396"/>
    <n v="25286"/>
    <n v="39"/>
    <s v="#FutureOfDriving"/>
    <s v="#SmoothLikeNitroTesla"/>
    <m/>
    <s v="CybertruckLaunch"/>
  </r>
  <r>
    <s v="P223"/>
    <x v="0"/>
    <d v="2024-11-12T00:00:00"/>
    <x v="4"/>
    <s v="Check out our latest image on twitter!"/>
    <x v="216"/>
    <n v="277"/>
    <n v="118"/>
    <n v="60084"/>
    <n v="59842"/>
    <n v="252"/>
    <s v="#TeslaCoInnovation"/>
    <m/>
    <m/>
    <m/>
  </r>
  <r>
    <s v="P224"/>
    <x v="3"/>
    <d v="2025-05-13T00:00:00"/>
    <x v="4"/>
    <s v="Check out our latest image on facebook!"/>
    <x v="217"/>
    <n v="594"/>
    <n v="156"/>
    <n v="4214"/>
    <n v="3363"/>
    <n v="164"/>
    <s v="#TeslaCoInnovation"/>
    <m/>
    <m/>
    <s v="FSDUpdate"/>
  </r>
  <r>
    <s v="P225"/>
    <x v="0"/>
    <d v="2024-06-20T00:00:00"/>
    <x v="3"/>
    <s v="Check out our latest carousel on twitter!"/>
    <x v="218"/>
    <n v="325"/>
    <n v="32"/>
    <n v="88768"/>
    <n v="87833"/>
    <n v="118"/>
    <s v="#EVRevolution"/>
    <m/>
    <m/>
    <m/>
  </r>
  <r>
    <s v="P226"/>
    <x v="2"/>
    <d v="2024-08-07T00:00:00"/>
    <x v="3"/>
    <s v="Check out our latest carousel on instagram!"/>
    <x v="219"/>
    <n v="164"/>
    <n v="318"/>
    <n v="8705"/>
    <n v="8272"/>
    <n v="121"/>
    <s v="#TeslaCoInnovation"/>
    <m/>
    <m/>
    <m/>
  </r>
  <r>
    <s v="P227"/>
    <x v="2"/>
    <d v="2024-06-12T00:00:00"/>
    <x v="1"/>
    <s v="Check out our latest text on instagram!"/>
    <x v="220"/>
    <n v="149"/>
    <n v="130"/>
    <n v="4674"/>
    <n v="4390"/>
    <n v="217"/>
    <s v="#FutureOfDriving"/>
    <m/>
    <m/>
    <s v="FSDUpdate"/>
  </r>
  <r>
    <s v="P228"/>
    <x v="2"/>
    <d v="2024-07-01T00:00:00"/>
    <x v="2"/>
    <s v="Check out our latest story on instagram!"/>
    <x v="221"/>
    <n v="772"/>
    <n v="320"/>
    <n v="72120"/>
    <n v="71696"/>
    <n v="195"/>
    <s v="#EVRevolution"/>
    <m/>
    <m/>
    <s v="CybertruckLaunch"/>
  </r>
  <r>
    <s v="P229"/>
    <x v="2"/>
    <d v="2024-07-03T00:00:00"/>
    <x v="3"/>
    <s v="Check out our latest carousel on instagram!"/>
    <x v="222"/>
    <n v="694"/>
    <n v="289"/>
    <n v="43191"/>
    <n v="42228"/>
    <n v="118"/>
    <s v="#TeslaCoInnovation"/>
    <m/>
    <m/>
    <m/>
  </r>
  <r>
    <s v="P230"/>
    <x v="3"/>
    <d v="2024-07-15T00:00:00"/>
    <x v="0"/>
    <s v="Check out our latest reel on facebook!"/>
    <x v="223"/>
    <n v="17"/>
    <n v="295"/>
    <n v="51282"/>
    <n v="50567"/>
    <n v="84"/>
    <s v="#EVRevolution"/>
    <m/>
    <m/>
    <s v="FSDUpdate"/>
  </r>
  <r>
    <s v="P231"/>
    <x v="2"/>
    <d v="2025-05-01T00:00:00"/>
    <x v="1"/>
    <s v="Check out our latest text on instagram!"/>
    <x v="224"/>
    <n v="376"/>
    <n v="33"/>
    <n v="21450"/>
    <n v="20509"/>
    <n v="251"/>
    <s v="#FutureOfDriving"/>
    <m/>
    <m/>
    <s v="CybertruckLaunch"/>
  </r>
  <r>
    <s v="P232"/>
    <x v="0"/>
    <d v="2025-04-29T00:00:00"/>
    <x v="2"/>
    <s v="Check out our latest story on twitter!"/>
    <x v="225"/>
    <n v="592"/>
    <n v="230"/>
    <n v="1494"/>
    <n v="1044"/>
    <n v="201"/>
    <s v="#EVRevolution"/>
    <m/>
    <m/>
    <s v="SustainabilityDrive"/>
  </r>
  <r>
    <s v="P233"/>
    <x v="3"/>
    <d v="2025-03-08T00:00:00"/>
    <x v="4"/>
    <s v="Check out our latest image on facebook!"/>
    <x v="226"/>
    <n v="265"/>
    <n v="134"/>
    <n v="38112"/>
    <n v="37437"/>
    <n v="249"/>
    <s v="#FutureOfDriving"/>
    <m/>
    <m/>
    <s v="SustainabilityDrive"/>
  </r>
  <r>
    <s v="P234"/>
    <x v="3"/>
    <d v="2024-06-01T00:00:00"/>
    <x v="1"/>
    <s v="Check out our latest text on facebook!"/>
    <x v="227"/>
    <n v="465"/>
    <n v="99"/>
    <n v="24168"/>
    <n v="23719"/>
    <n v="42"/>
    <s v="#TeslaCoInnovation"/>
    <m/>
    <m/>
    <m/>
  </r>
  <r>
    <s v="P235"/>
    <x v="3"/>
    <d v="2024-12-22T00:00:00"/>
    <x v="4"/>
    <s v="Check out our latest image on facebook!"/>
    <x v="228"/>
    <n v="941"/>
    <n v="376"/>
    <n v="35156"/>
    <n v="34444"/>
    <n v="241"/>
    <s v="#TeslaCoInnovation"/>
    <m/>
    <m/>
    <s v="FSDUpdate"/>
  </r>
  <r>
    <s v="P236"/>
    <x v="3"/>
    <d v="2024-08-19T00:00:00"/>
    <x v="1"/>
    <s v="Check out our latest text on facebook!"/>
    <x v="229"/>
    <n v="19"/>
    <n v="351"/>
    <n v="12570"/>
    <n v="11660"/>
    <n v="194"/>
    <s v="#FutureOfDriving"/>
    <s v="#AnytimeIsTeslaTime"/>
    <s v="#EVRevolution"/>
    <s v="ModelYCampaign"/>
  </r>
  <r>
    <s v="P237"/>
    <x v="2"/>
    <d v="2024-10-22T00:00:00"/>
    <x v="2"/>
    <s v="Check out our latest story on instagram!"/>
    <x v="230"/>
    <n v="917"/>
    <n v="129"/>
    <n v="71630"/>
    <n v="71322"/>
    <n v="76"/>
    <s v="#FutureOfDriving"/>
    <m/>
    <m/>
    <s v="CybertruckLaunch"/>
  </r>
  <r>
    <s v="P238"/>
    <x v="0"/>
    <d v="2024-07-16T00:00:00"/>
    <x v="1"/>
    <s v="Check out our latest text on twitter!"/>
    <x v="231"/>
    <n v="400"/>
    <n v="362"/>
    <n v="75600"/>
    <n v="74927"/>
    <n v="43"/>
    <s v="#FutureOfDriving"/>
    <m/>
    <m/>
    <s v="SustainabilityDrive"/>
  </r>
  <r>
    <s v="P239"/>
    <x v="1"/>
    <d v="2025-02-24T00:00:00"/>
    <x v="1"/>
    <s v="Check out our latest text on youtube!"/>
    <x v="232"/>
    <n v="942"/>
    <n v="118"/>
    <n v="20940"/>
    <n v="20471"/>
    <n v="102"/>
    <s v="#FutureOfDriving"/>
    <m/>
    <m/>
    <m/>
  </r>
  <r>
    <s v="P240"/>
    <x v="0"/>
    <d v="2024-08-26T00:00:00"/>
    <x v="3"/>
    <s v="Check out our latest carousel on twitter!"/>
    <x v="233"/>
    <n v="192"/>
    <n v="322"/>
    <n v="16722"/>
    <n v="15996"/>
    <n v="145"/>
    <s v="#EVRevolution"/>
    <s v="#TeslaCoInnovation"/>
    <s v="#AnytimeIsTeslaTime"/>
    <s v="FSDUpdate"/>
  </r>
  <r>
    <s v="P241"/>
    <x v="3"/>
    <d v="2025-01-18T00:00:00"/>
    <x v="2"/>
    <s v="Check out our latest story on facebook!"/>
    <x v="234"/>
    <n v="874"/>
    <n v="172"/>
    <n v="30247"/>
    <n v="29254"/>
    <n v="122"/>
    <s v="#TeslaCoInnovation"/>
    <m/>
    <m/>
    <s v="SustainabilityDrive"/>
  </r>
  <r>
    <s v="P242"/>
    <x v="3"/>
    <d v="2024-07-07T00:00:00"/>
    <x v="0"/>
    <s v="Check out our latest reel on facebook!"/>
    <x v="235"/>
    <n v="190"/>
    <n v="340"/>
    <n v="28602"/>
    <n v="28044"/>
    <n v="210"/>
    <s v="#EVRevolution"/>
    <m/>
    <m/>
    <s v="FSDUpdate"/>
  </r>
  <r>
    <s v="P243"/>
    <x v="0"/>
    <d v="2025-03-06T00:00:00"/>
    <x v="4"/>
    <s v="Check out our latest image on twitter!"/>
    <x v="236"/>
    <n v="911"/>
    <n v="375"/>
    <n v="50288"/>
    <n v="49490"/>
    <n v="32"/>
    <s v="#FutureOfDriving"/>
    <m/>
    <m/>
    <s v="SustainabilityDrive"/>
  </r>
  <r>
    <s v="P244"/>
    <x v="1"/>
    <d v="2024-10-25T00:00:00"/>
    <x v="5"/>
    <s v="Check out our latest video on youtube!"/>
    <x v="237"/>
    <n v="935"/>
    <n v="433"/>
    <n v="23305"/>
    <n v="22583"/>
    <n v="63"/>
    <s v="#FutureOfDriving"/>
    <m/>
    <m/>
    <s v="FSDUpdate"/>
  </r>
  <r>
    <s v="P245"/>
    <x v="3"/>
    <d v="2025-01-12T00:00:00"/>
    <x v="0"/>
    <s v="Check out our latest reel on facebook!"/>
    <x v="238"/>
    <n v="824"/>
    <n v="99"/>
    <n v="41340"/>
    <n v="41050"/>
    <n v="177"/>
    <s v="#EVRevolution"/>
    <m/>
    <m/>
    <s v="CybertruckLaunch"/>
  </r>
  <r>
    <s v="P246"/>
    <x v="3"/>
    <d v="2024-10-11T00:00:00"/>
    <x v="4"/>
    <s v="Check out our latest image on facebook!"/>
    <x v="239"/>
    <n v="680"/>
    <n v="434"/>
    <n v="6400"/>
    <n v="5472"/>
    <n v="160"/>
    <s v="#FutureOfDriving"/>
    <m/>
    <m/>
    <s v="ModelYCampaign"/>
  </r>
  <r>
    <s v="P247"/>
    <x v="3"/>
    <d v="2024-08-27T00:00:00"/>
    <x v="0"/>
    <s v="Check out our latest reel on facebook!"/>
    <x v="240"/>
    <n v="266"/>
    <n v="8"/>
    <n v="35640"/>
    <n v="34850"/>
    <n v="208"/>
    <s v="#FutureOfDriving"/>
    <s v="#EVRevolution"/>
    <s v="#BetterWithTesla"/>
    <m/>
  </r>
  <r>
    <s v="P248"/>
    <x v="3"/>
    <d v="2025-02-02T00:00:00"/>
    <x v="2"/>
    <s v="Check out our latest story on facebook!"/>
    <x v="241"/>
    <n v="126"/>
    <n v="153"/>
    <n v="4430"/>
    <n v="4037"/>
    <n v="212"/>
    <s v="#EVRevolution"/>
    <m/>
    <m/>
    <m/>
  </r>
  <r>
    <s v="P249"/>
    <x v="0"/>
    <d v="2024-07-18T00:00:00"/>
    <x v="4"/>
    <s v="Check out our latest image on twitter!"/>
    <x v="242"/>
    <n v="77"/>
    <n v="402"/>
    <n v="14886"/>
    <n v="14129"/>
    <n v="254"/>
    <s v="#EVRevolution"/>
    <m/>
    <m/>
    <s v="ModelYCampaign"/>
  </r>
  <r>
    <s v="P250"/>
    <x v="3"/>
    <d v="2024-06-22T00:00:00"/>
    <x v="0"/>
    <s v="Check out our latest reel on facebook!"/>
    <x v="243"/>
    <n v="935"/>
    <n v="274"/>
    <n v="68634"/>
    <n v="68488"/>
    <n v="251"/>
    <s v="#FutureOfDriving"/>
    <m/>
    <m/>
    <m/>
  </r>
  <r>
    <s v="P251"/>
    <x v="2"/>
    <d v="2025-03-27T00:00:00"/>
    <x v="3"/>
    <s v="Check out our latest carousel on instagram!"/>
    <x v="244"/>
    <n v="796"/>
    <n v="387"/>
    <n v="22032"/>
    <n v="21869"/>
    <n v="189"/>
    <s v="#FutureOfDriving"/>
    <m/>
    <m/>
    <m/>
  </r>
  <r>
    <s v="P252"/>
    <x v="3"/>
    <d v="2025-04-28T00:00:00"/>
    <x v="3"/>
    <s v="Check out our latest carousel on facebook!"/>
    <x v="245"/>
    <n v="476"/>
    <n v="69"/>
    <n v="16712"/>
    <n v="16309"/>
    <n v="64"/>
    <s v="#FutureOfDriving"/>
    <m/>
    <m/>
    <s v="FSDUpdate"/>
  </r>
  <r>
    <s v="P253"/>
    <x v="0"/>
    <d v="2024-08-03T00:00:00"/>
    <x v="0"/>
    <s v="Check out our latest reel on twitter!"/>
    <x v="246"/>
    <n v="593"/>
    <n v="228"/>
    <n v="53074"/>
    <n v="52613"/>
    <n v="205"/>
    <s v="#EVRevolution"/>
    <m/>
    <m/>
    <m/>
  </r>
  <r>
    <s v="P254"/>
    <x v="0"/>
    <d v="2025-01-14T00:00:00"/>
    <x v="4"/>
    <s v="Check out our latest image on twitter!"/>
    <x v="247"/>
    <n v="115"/>
    <n v="64"/>
    <n v="21536"/>
    <n v="21120"/>
    <n v="224"/>
    <s v="#FutureOfDriving"/>
    <m/>
    <m/>
    <s v="ModelYCampaign"/>
  </r>
  <r>
    <s v="P255"/>
    <x v="3"/>
    <d v="2025-04-03T00:00:00"/>
    <x v="2"/>
    <s v="Check out our latest story on facebook!"/>
    <x v="248"/>
    <n v="514"/>
    <n v="238"/>
    <n v="37670"/>
    <n v="36807"/>
    <n v="226"/>
    <s v="#FutureOfDriving"/>
    <m/>
    <m/>
    <s v="SustainabilityDrive"/>
  </r>
  <r>
    <s v="P256"/>
    <x v="1"/>
    <d v="2024-09-18T00:00:00"/>
    <x v="3"/>
    <s v="Check out our latest carousel on youtube!"/>
    <x v="249"/>
    <n v="12"/>
    <n v="204"/>
    <n v="40717"/>
    <n v="40125"/>
    <n v="248"/>
    <s v="#EVRevolution"/>
    <m/>
    <m/>
    <s v="ModelYCampaign"/>
  </r>
  <r>
    <s v="P257"/>
    <x v="3"/>
    <d v="2025-04-06T00:00:00"/>
    <x v="4"/>
    <s v="Check out our latest image on facebook!"/>
    <x v="250"/>
    <n v="697"/>
    <n v="164"/>
    <n v="49440"/>
    <n v="48524"/>
    <n v="25"/>
    <s v="#EVRevolution"/>
    <s v="#EVRevolution"/>
    <s v="#BetterWithTesla"/>
    <s v="ModelYCampaign"/>
  </r>
  <r>
    <s v="P258"/>
    <x v="2"/>
    <d v="2024-08-05T00:00:00"/>
    <x v="2"/>
    <s v="Check out our latest story on instagram!"/>
    <x v="251"/>
    <n v="695"/>
    <n v="75"/>
    <n v="21606"/>
    <n v="21454"/>
    <n v="172"/>
    <s v="#EVRevolution"/>
    <m/>
    <m/>
    <s v="ModelYCampaign"/>
  </r>
  <r>
    <s v="P259"/>
    <x v="3"/>
    <d v="2025-02-10T00:00:00"/>
    <x v="1"/>
    <s v="Check out our latest text on facebook!"/>
    <x v="252"/>
    <n v="158"/>
    <n v="149"/>
    <n v="3372"/>
    <n v="2940"/>
    <n v="93"/>
    <s v="#TeslaCoInnovation"/>
    <m/>
    <m/>
    <s v="CybertruckLaunch"/>
  </r>
  <r>
    <s v="P260"/>
    <x v="2"/>
    <d v="2025-02-12T00:00:00"/>
    <x v="2"/>
    <s v="Check out our latest story on instagram!"/>
    <x v="253"/>
    <n v="771"/>
    <n v="219"/>
    <n v="60648"/>
    <n v="60397"/>
    <n v="10"/>
    <s v="#TeslaCoInnovation"/>
    <s v="#EVRevolution"/>
    <s v="#BetterWithTesla"/>
    <s v="FSDUpdate"/>
  </r>
  <r>
    <s v="P261"/>
    <x v="2"/>
    <d v="2024-10-27T00:00:00"/>
    <x v="4"/>
    <s v="Check out our latest image on instagram!"/>
    <x v="254"/>
    <n v="837"/>
    <n v="340"/>
    <n v="72795"/>
    <n v="72237"/>
    <n v="170"/>
    <s v="#EVRevolution"/>
    <m/>
    <m/>
    <s v="CybertruckLaunch"/>
  </r>
  <r>
    <s v="P262"/>
    <x v="1"/>
    <d v="2025-01-18T00:00:00"/>
    <x v="4"/>
    <s v="Check out our latest image on youtube!"/>
    <x v="255"/>
    <n v="238"/>
    <n v="36"/>
    <n v="9648"/>
    <n v="9417"/>
    <n v="237"/>
    <s v="#TeslaCoInnovation"/>
    <m/>
    <m/>
    <m/>
  </r>
  <r>
    <s v="P263"/>
    <x v="2"/>
    <d v="2024-08-20T00:00:00"/>
    <x v="0"/>
    <s v="Check out our latest reel on instagram!"/>
    <x v="256"/>
    <n v="690"/>
    <n v="205"/>
    <n v="13015"/>
    <n v="12130"/>
    <n v="20"/>
    <s v="#FutureOfDriving"/>
    <m/>
    <m/>
    <s v="ModelYCampaign"/>
  </r>
  <r>
    <s v="P264"/>
    <x v="0"/>
    <d v="2025-01-30T00:00:00"/>
    <x v="4"/>
    <s v="Check out our latest image on twitter!"/>
    <x v="257"/>
    <n v="163"/>
    <n v="93"/>
    <n v="590"/>
    <n v="475"/>
    <n v="293"/>
    <s v="#TeslaCoInnovation"/>
    <m/>
    <m/>
    <s v="ModelYCampaign"/>
  </r>
  <r>
    <s v="P265"/>
    <x v="0"/>
    <d v="2025-02-20T00:00:00"/>
    <x v="3"/>
    <s v="Check out our latest carousel on twitter!"/>
    <x v="258"/>
    <n v="745"/>
    <n v="225"/>
    <n v="11262"/>
    <n v="10967"/>
    <n v="41"/>
    <s v="#EVRevolution"/>
    <m/>
    <m/>
    <s v="SustainabilityDrive"/>
  </r>
  <r>
    <s v="P266"/>
    <x v="3"/>
    <d v="2024-11-25T00:00:00"/>
    <x v="2"/>
    <s v="Check out our latest story on facebook!"/>
    <x v="259"/>
    <n v="640"/>
    <n v="240"/>
    <n v="50184"/>
    <n v="49351"/>
    <n v="10"/>
    <s v="#TeslaCoInnovation"/>
    <m/>
    <m/>
    <s v="FSDUpdate"/>
  </r>
  <r>
    <s v="P267"/>
    <x v="0"/>
    <d v="2024-10-04T00:00:00"/>
    <x v="0"/>
    <s v="Check out our latest reel on twitter!"/>
    <x v="260"/>
    <n v="66"/>
    <n v="31"/>
    <n v="66992"/>
    <n v="66614"/>
    <n v="62"/>
    <s v="#FutureOfDriving"/>
    <m/>
    <m/>
    <m/>
  </r>
  <r>
    <s v="P268"/>
    <x v="2"/>
    <d v="2025-04-13T00:00:00"/>
    <x v="0"/>
    <s v="Check out our latest reel on instagram!"/>
    <x v="261"/>
    <n v="125"/>
    <n v="300"/>
    <n v="59527"/>
    <n v="59400"/>
    <n v="269"/>
    <s v="#EVRevolution"/>
    <m/>
    <m/>
    <s v="CybertruckLaunch"/>
  </r>
  <r>
    <s v="P269"/>
    <x v="2"/>
    <d v="2024-11-05T00:00:00"/>
    <x v="5"/>
    <s v="Check out our latest video on instagram!"/>
    <x v="262"/>
    <n v="51"/>
    <n v="441"/>
    <n v="22805"/>
    <n v="21890"/>
    <n v="45"/>
    <s v="#TeslaCoInnovation"/>
    <m/>
    <m/>
    <s v="ModelYCampaign"/>
  </r>
  <r>
    <s v="P270"/>
    <x v="1"/>
    <d v="2025-01-15T00:00:00"/>
    <x v="0"/>
    <s v="Check out our latest reel on youtube!"/>
    <x v="263"/>
    <n v="239"/>
    <n v="39"/>
    <n v="60384"/>
    <n v="59490"/>
    <n v="241"/>
    <s v="#TeslaCoInnovation"/>
    <m/>
    <m/>
    <s v="FSDUpdate"/>
  </r>
  <r>
    <s v="P271"/>
    <x v="2"/>
    <d v="2024-10-17T00:00:00"/>
    <x v="5"/>
    <s v="Check out our latest video on instagram!"/>
    <x v="264"/>
    <n v="749"/>
    <n v="111"/>
    <n v="21450"/>
    <n v="20785"/>
    <n v="195"/>
    <s v="#EVRevolution"/>
    <m/>
    <m/>
    <s v="ModelYCampaign"/>
  </r>
  <r>
    <s v="P272"/>
    <x v="2"/>
    <d v="2025-03-27T00:00:00"/>
    <x v="1"/>
    <s v="Check out our latest text on instagram!"/>
    <x v="265"/>
    <n v="414"/>
    <n v="266"/>
    <n v="39528"/>
    <n v="39154"/>
    <n v="217"/>
    <s v="#TeslaCoInnovation"/>
    <m/>
    <m/>
    <s v="FSDUpdate"/>
  </r>
  <r>
    <s v="P273"/>
    <x v="1"/>
    <d v="2024-10-12T00:00:00"/>
    <x v="2"/>
    <s v="Check out our latest story on youtube!"/>
    <x v="266"/>
    <n v="226"/>
    <n v="46"/>
    <n v="40051"/>
    <n v="39319"/>
    <n v="296"/>
    <s v="#EVRevolution"/>
    <m/>
    <m/>
    <s v="SustainabilityDrive"/>
  </r>
  <r>
    <s v="P274"/>
    <x v="0"/>
    <d v="2025-01-01T00:00:00"/>
    <x v="3"/>
    <s v="Check out our latest carousel on twitter!"/>
    <x v="267"/>
    <n v="494"/>
    <n v="152"/>
    <n v="53025"/>
    <n v="52791"/>
    <n v="44"/>
    <s v="#TeslaCoInnovation"/>
    <m/>
    <m/>
    <s v="SustainabilityDrive"/>
  </r>
  <r>
    <s v="P275"/>
    <x v="3"/>
    <d v="2024-08-05T00:00:00"/>
    <x v="0"/>
    <s v="Check out our latest reel on facebook!"/>
    <x v="219"/>
    <n v="831"/>
    <n v="345"/>
    <n v="17410"/>
    <n v="16844"/>
    <n v="58"/>
    <s v="#EVRevolution"/>
    <m/>
    <m/>
    <s v="FSDUpdate"/>
  </r>
  <r>
    <s v="P276"/>
    <x v="0"/>
    <d v="2024-06-07T00:00:00"/>
    <x v="3"/>
    <s v="Check out our latest carousel on twitter!"/>
    <x v="268"/>
    <n v="195"/>
    <n v="131"/>
    <n v="9336"/>
    <n v="8875"/>
    <n v="137"/>
    <s v="#TeslaCoInnovation"/>
    <m/>
    <m/>
    <s v="ModelYCampaign"/>
  </r>
  <r>
    <s v="P277"/>
    <x v="3"/>
    <d v="2025-04-06T00:00:00"/>
    <x v="4"/>
    <s v="Check out our latest image on facebook!"/>
    <x v="269"/>
    <n v="711"/>
    <n v="298"/>
    <n v="21180"/>
    <n v="20516"/>
    <n v="238"/>
    <s v="#FutureOfDriving"/>
    <m/>
    <m/>
    <s v="CybertruckLaunch"/>
  </r>
  <r>
    <s v="P278"/>
    <x v="0"/>
    <d v="2024-11-26T00:00:00"/>
    <x v="1"/>
    <s v="Check out our latest text on twitter!"/>
    <x v="270"/>
    <n v="836"/>
    <n v="169"/>
    <n v="49676"/>
    <n v="49257"/>
    <n v="282"/>
    <s v="#EVRevolution"/>
    <m/>
    <m/>
    <s v="SustainabilityDrive"/>
  </r>
  <r>
    <s v="P279"/>
    <x v="1"/>
    <d v="2024-09-02T00:00:00"/>
    <x v="4"/>
    <s v="Check out our latest image on youtube!"/>
    <x v="271"/>
    <n v="845"/>
    <n v="129"/>
    <n v="98100"/>
    <n v="97772"/>
    <n v="279"/>
    <s v="#TeslaCoInnovation"/>
    <m/>
    <m/>
    <s v="ModelYCampaign"/>
  </r>
  <r>
    <s v="P280"/>
    <x v="1"/>
    <d v="2024-10-21T00:00:00"/>
    <x v="5"/>
    <s v="Check out our latest video on youtube!"/>
    <x v="272"/>
    <n v="680"/>
    <n v="385"/>
    <n v="64125"/>
    <n v="63650"/>
    <n v="104"/>
    <s v="#EVRevolution"/>
    <s v="#TeslaCoInnovation"/>
    <s v="#AnytimeIsTeslaTime"/>
    <s v="SustainabilityDrive"/>
  </r>
  <r>
    <s v="P281"/>
    <x v="1"/>
    <d v="2025-03-22T00:00:00"/>
    <x v="4"/>
    <s v="Check out our latest image on youtube!"/>
    <x v="273"/>
    <n v="90"/>
    <n v="341"/>
    <n v="56988"/>
    <n v="56125"/>
    <n v="135"/>
    <s v="#EVRevolution"/>
    <m/>
    <m/>
    <s v="ModelYCampaign"/>
  </r>
  <r>
    <s v="P282"/>
    <x v="2"/>
    <d v="2024-10-03T00:00:00"/>
    <x v="5"/>
    <s v="Check out our latest video on instagram!"/>
    <x v="274"/>
    <n v="417"/>
    <n v="168"/>
    <n v="19344"/>
    <n v="18395"/>
    <n v="30"/>
    <s v="#FutureOfDriving"/>
    <m/>
    <m/>
    <s v="FSDUpdate"/>
  </r>
  <r>
    <s v="P283"/>
    <x v="0"/>
    <d v="2025-05-09T00:00:00"/>
    <x v="0"/>
    <s v="Check out our latest reel on twitter!"/>
    <x v="275"/>
    <n v="302"/>
    <n v="57"/>
    <n v="63973"/>
    <n v="63789"/>
    <n v="157"/>
    <s v="#FutureOfDriving"/>
    <m/>
    <m/>
    <s v="ModelYCampaign"/>
  </r>
  <r>
    <s v="P284"/>
    <x v="0"/>
    <d v="2024-09-17T00:00:00"/>
    <x v="1"/>
    <s v="Check out our latest text on twitter!"/>
    <x v="276"/>
    <n v="190"/>
    <n v="352"/>
    <n v="9707"/>
    <n v="9418"/>
    <n v="231"/>
    <s v="#TeslaCoInnovation"/>
    <m/>
    <m/>
    <s v="SustainabilityDrive"/>
  </r>
  <r>
    <s v="P285"/>
    <x v="1"/>
    <d v="2024-07-18T00:00:00"/>
    <x v="1"/>
    <s v="Check out our latest text on youtube!"/>
    <x v="277"/>
    <n v="794"/>
    <n v="77"/>
    <n v="36189"/>
    <n v="35505"/>
    <n v="174"/>
    <s v="#EVRevolution"/>
    <m/>
    <m/>
    <m/>
  </r>
  <r>
    <s v="P286"/>
    <x v="1"/>
    <d v="2024-09-25T00:00:00"/>
    <x v="5"/>
    <s v="Check out our latest video on youtube!"/>
    <x v="278"/>
    <n v="344"/>
    <n v="229"/>
    <n v="20334"/>
    <n v="19443"/>
    <n v="228"/>
    <s v="#FutureOfDriving"/>
    <m/>
    <m/>
    <s v="FSDUpdate"/>
  </r>
  <r>
    <s v="P287"/>
    <x v="2"/>
    <d v="2024-08-15T00:00:00"/>
    <x v="0"/>
    <s v="Check out our latest reel on instagram!"/>
    <x v="279"/>
    <n v="616"/>
    <n v="324"/>
    <n v="6984"/>
    <n v="6636"/>
    <n v="82"/>
    <s v="#EVRevolution"/>
    <m/>
    <m/>
    <s v="CybertruckLaunch"/>
  </r>
  <r>
    <s v="P288"/>
    <x v="1"/>
    <d v="2025-04-17T00:00:00"/>
    <x v="3"/>
    <s v="Check out our latest carousel on youtube!"/>
    <x v="280"/>
    <n v="691"/>
    <n v="380"/>
    <n v="86040"/>
    <n v="85743"/>
    <n v="262"/>
    <s v="#FutureOfDriving"/>
    <m/>
    <m/>
    <s v="FSDUpdate"/>
  </r>
  <r>
    <s v="P289"/>
    <x v="3"/>
    <d v="2024-11-28T00:00:00"/>
    <x v="3"/>
    <s v="Check out our latest carousel on facebook!"/>
    <x v="281"/>
    <n v="33"/>
    <n v="430"/>
    <n v="44016"/>
    <n v="43415"/>
    <n v="129"/>
    <s v="#FutureOfDriving"/>
    <m/>
    <m/>
    <m/>
  </r>
  <r>
    <s v="P290"/>
    <x v="2"/>
    <d v="2024-12-20T00:00:00"/>
    <x v="3"/>
    <s v="Check out our latest carousel on instagram!"/>
    <x v="282"/>
    <n v="550"/>
    <n v="349"/>
    <n v="35819"/>
    <n v="35340"/>
    <n v="191"/>
    <s v="#EVRevolution"/>
    <m/>
    <m/>
    <s v="SustainabilityDrive"/>
  </r>
  <r>
    <s v="P291"/>
    <x v="3"/>
    <d v="2024-11-06T00:00:00"/>
    <x v="5"/>
    <s v="Check out our latest video on facebook!"/>
    <x v="283"/>
    <n v="145"/>
    <n v="225"/>
    <n v="69945"/>
    <n v="69596"/>
    <n v="35"/>
    <s v="#EVRevolution"/>
    <m/>
    <m/>
    <s v="SustainabilityDrive"/>
  </r>
  <r>
    <s v="P292"/>
    <x v="3"/>
    <d v="2024-11-17T00:00:00"/>
    <x v="1"/>
    <s v="Check out our latest text on facebook!"/>
    <x v="284"/>
    <n v="297"/>
    <n v="345"/>
    <n v="12320"/>
    <n v="11978"/>
    <n v="238"/>
    <s v="#TeslaCoInnovation"/>
    <s v="#AnytimeIsTeslaTime"/>
    <m/>
    <m/>
  </r>
  <r>
    <s v="P293"/>
    <x v="3"/>
    <d v="2025-05-14T00:00:00"/>
    <x v="1"/>
    <s v="Check out our latest text on facebook!"/>
    <x v="285"/>
    <n v="726"/>
    <n v="241"/>
    <n v="28974"/>
    <n v="28102"/>
    <n v="277"/>
    <s v="#EVRevolution"/>
    <m/>
    <m/>
    <s v="CybertruckLaunch"/>
  </r>
  <r>
    <s v="P294"/>
    <x v="3"/>
    <d v="2024-06-19T00:00:00"/>
    <x v="3"/>
    <s v="Check out our latest carousel on facebook!"/>
    <x v="286"/>
    <n v="173"/>
    <n v="276"/>
    <n v="28386"/>
    <n v="28185"/>
    <n v="89"/>
    <s v="#EVRevolution"/>
    <m/>
    <m/>
    <s v="FSDUpdate"/>
  </r>
  <r>
    <s v="P295"/>
    <x v="0"/>
    <d v="2025-05-06T00:00:00"/>
    <x v="4"/>
    <s v="Check out our latest image on twitter!"/>
    <x v="287"/>
    <n v="344"/>
    <n v="287"/>
    <n v="15616"/>
    <n v="15403"/>
    <n v="235"/>
    <s v="#FutureOfDriving"/>
    <s v="#TeslaCoInnovation"/>
    <s v="#AnytimeIsTeslaTime"/>
    <s v="ModelYCampaign"/>
  </r>
  <r>
    <s v="P296"/>
    <x v="0"/>
    <d v="2025-02-11T00:00:00"/>
    <x v="5"/>
    <s v="Check out our latest video on twitter!"/>
    <x v="288"/>
    <n v="13"/>
    <n v="20"/>
    <n v="58480"/>
    <n v="58146"/>
    <n v="210"/>
    <s v="#TeslaCoInnovation"/>
    <s v="#SmoothLikeNitroTesla"/>
    <m/>
    <s v="SustainabilityDrive"/>
  </r>
  <r>
    <s v="P297"/>
    <x v="0"/>
    <d v="2024-12-24T00:00:00"/>
    <x v="1"/>
    <s v="Check out our latest text on twitter!"/>
    <x v="289"/>
    <n v="354"/>
    <n v="117"/>
    <n v="10830"/>
    <n v="10245"/>
    <n v="24"/>
    <s v="#EVRevolution"/>
    <m/>
    <m/>
    <s v="SustainabilityDrive"/>
  </r>
  <r>
    <s v="P298"/>
    <x v="3"/>
    <d v="2024-10-24T00:00:00"/>
    <x v="4"/>
    <s v="Check out our latest image on facebook!"/>
    <x v="290"/>
    <n v="451"/>
    <n v="286"/>
    <n v="86060"/>
    <n v="85823"/>
    <n v="14"/>
    <s v="#TeslaCoInnovation"/>
    <m/>
    <m/>
    <s v="FSDUpdate"/>
  </r>
  <r>
    <s v="P299"/>
    <x v="3"/>
    <d v="2024-08-26T00:00:00"/>
    <x v="4"/>
    <s v="Check out our latest image on facebook!"/>
    <x v="291"/>
    <n v="517"/>
    <n v="117"/>
    <n v="23229"/>
    <n v="22331"/>
    <n v="70"/>
    <s v="#FutureOfDriving"/>
    <m/>
    <m/>
    <s v="FSDUpdate"/>
  </r>
  <r>
    <s v="P300"/>
    <x v="0"/>
    <d v="2024-08-31T00:00:00"/>
    <x v="3"/>
    <s v="Check out our latest carousel on twitter!"/>
    <x v="292"/>
    <n v="717"/>
    <n v="45"/>
    <n v="62916"/>
    <n v="62688"/>
    <n v="191"/>
    <s v="#TeslaCoInnovation"/>
    <s v="#EVRevolution"/>
    <s v="#BetterWithTesla"/>
    <s v="CybertruckLaunch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s v="P001"/>
    <x v="0"/>
    <d v="2024-12-23T00:00:00"/>
    <s v="Reel"/>
    <s v="Check out our latest reel on twitter!"/>
    <n v="1461"/>
    <n v="184"/>
    <n v="344"/>
    <n v="21915"/>
    <n v="21675"/>
    <n v="15"/>
    <s v="#FutureOfDriving"/>
    <s v="CybertruckLaunch"/>
    <n v="53.312799452429843"/>
  </r>
  <r>
    <s v="P001"/>
    <x v="0"/>
    <d v="2024-12-23T00:00:00"/>
    <s v="Reel"/>
    <s v="Check out our latest reel on twitter!"/>
    <n v="1461"/>
    <n v="184"/>
    <n v="344"/>
    <n v="21915"/>
    <n v="21675"/>
    <n v="15"/>
    <s v="#AnytimeIsTeslaTime"/>
    <s v="CybertruckLaunch"/>
    <n v="53.312799452429843"/>
  </r>
  <r>
    <s v="P002"/>
    <x v="0"/>
    <d v="2025-04-03T00:00:00"/>
    <s v="Text"/>
    <s v="Check out our latest text on twitter!"/>
    <n v="4054"/>
    <n v="389"/>
    <n v="493"/>
    <n v="64864"/>
    <n v="64383"/>
    <n v="117"/>
    <s v="#TeslaCoInnovation"/>
    <s v="ModelYCampaign"/>
    <n v="18.01230266403552"/>
  </r>
  <r>
    <s v="P002"/>
    <x v="0"/>
    <d v="2025-04-03T00:00:00"/>
    <s v="Text"/>
    <s v="Check out our latest text on twitter!"/>
    <n v="4054"/>
    <n v="389"/>
    <n v="493"/>
    <n v="64864"/>
    <n v="64383"/>
    <n v="117"/>
    <s v="#BetterWithTesla"/>
    <s v="ModelYCampaign"/>
    <n v="18.01230266403552"/>
  </r>
  <r>
    <s v="P003"/>
    <x v="1"/>
    <d v="2025-05-12T00:00:00"/>
    <s v="Reel"/>
    <s v="Check out our latest reel on youtube!"/>
    <n v="2795"/>
    <n v="105"/>
    <n v="49"/>
    <n v="53105"/>
    <n v="52307"/>
    <n v="204"/>
    <s v="#TeslaCoInnovation"/>
    <s v="FSDUpdate"/>
    <n v="22.000753224743434"/>
  </r>
  <r>
    <s v="P004"/>
    <x v="2"/>
    <d v="2024-08-12T00:00:00"/>
    <s v="Story"/>
    <s v="Check out our latest story on instagram!"/>
    <n v="2404"/>
    <n v="363"/>
    <n v="138"/>
    <n v="19232"/>
    <n v="18636"/>
    <n v="128"/>
    <s v="#EVRevolution"/>
    <s v="SustainabilityDrive"/>
    <n v="60.750311980033281"/>
  </r>
  <r>
    <s v="P005"/>
    <x v="1"/>
    <d v="2024-06-26T00:00:00"/>
    <s v="Reel"/>
    <s v="Check out our latest reel on youtube!"/>
    <n v="3557"/>
    <n v="687"/>
    <n v="424"/>
    <n v="71140"/>
    <n v="70701"/>
    <n v="224"/>
    <s v="#EVRevolution"/>
    <s v="CybertruckLaunch"/>
    <n v="16.423249929716054"/>
  </r>
  <r>
    <s v="P005"/>
    <x v="1"/>
    <d v="2024-06-26T00:00:00"/>
    <s v="Reel"/>
    <s v="Check out our latest reel on youtube!"/>
    <n v="3557"/>
    <n v="687"/>
    <n v="424"/>
    <n v="71140"/>
    <n v="70701"/>
    <n v="224"/>
    <s v="#TeslaCoInnovation"/>
    <s v="CybertruckLaunch"/>
    <n v="16.423249929716054"/>
  </r>
  <r>
    <s v="P006"/>
    <x v="3"/>
    <d v="2024-10-31T00:00:00"/>
    <s v="Carousel"/>
    <s v="Check out our latest carousel on facebook!"/>
    <n v="2945"/>
    <n v="930"/>
    <n v="355"/>
    <n v="23560"/>
    <n v="23275"/>
    <n v="256"/>
    <s v="#TeslaCoInnovation"/>
    <s v="ModelYCampaign"/>
    <n v="49.590407470288625"/>
  </r>
  <r>
    <s v="P007"/>
    <x v="0"/>
    <d v="2024-06-24T00:00:00"/>
    <s v="Carousel"/>
    <s v="Check out our latest carousel on twitter!"/>
    <n v="3860"/>
    <n v="201"/>
    <n v="279"/>
    <n v="61760"/>
    <n v="61660"/>
    <n v="235"/>
    <s v="#TeslaCoInnovation"/>
    <s v="ModelYCampaign"/>
    <n v="18.917584196891191"/>
  </r>
  <r>
    <s v="P008"/>
    <x v="1"/>
    <d v="2024-07-13T00:00:00"/>
    <s v="Image"/>
    <s v="Check out our latest image on youtube!"/>
    <n v="3929"/>
    <n v="262"/>
    <n v="278"/>
    <n v="43219"/>
    <n v="42841"/>
    <n v="39"/>
    <s v="#EVRevolution"/>
    <s v="SustainabilityDrive"/>
    <n v="27.033249265369399"/>
  </r>
  <r>
    <s v="P009"/>
    <x v="3"/>
    <d v="2024-08-30T00:00:00"/>
    <s v="Text"/>
    <s v="Check out our latest text on facebook!"/>
    <n v="3784"/>
    <n v="808"/>
    <n v="404"/>
    <n v="56760"/>
    <n v="56343"/>
    <n v="131"/>
    <s v="#TeslaCoInnovation"/>
    <s v="ModelYCampaign"/>
    <n v="20.584038054968289"/>
  </r>
  <r>
    <s v="P010"/>
    <x v="3"/>
    <d v="2025-03-11T00:00:00"/>
    <s v="Image"/>
    <s v="Check out our latest image on facebook!"/>
    <n v="4241"/>
    <n v="902"/>
    <n v="47"/>
    <n v="72097"/>
    <n v="71598"/>
    <n v="167"/>
    <s v="#TeslaCoInnovation"/>
    <s v="ModelYCampaign"/>
    <n v="16.205251258720889"/>
  </r>
  <r>
    <s v="P011"/>
    <x v="2"/>
    <d v="2025-02-02T00:00:00"/>
    <s v="Story"/>
    <s v="Check out our latest story on instagram!"/>
    <n v="1792"/>
    <n v="614"/>
    <n v="497"/>
    <n v="25088"/>
    <n v="24675"/>
    <n v="65"/>
    <s v="#FutureOfDriving"/>
    <s v="SustainabilityDrive"/>
    <n v="46.570073341836732"/>
  </r>
  <r>
    <s v="P012"/>
    <x v="3"/>
    <d v="2024-07-21T00:00:00"/>
    <s v="Reel"/>
    <s v="Check out our latest reel on facebook!"/>
    <n v="1946"/>
    <n v="686"/>
    <n v="377"/>
    <n v="23352"/>
    <n v="22982"/>
    <n v="213"/>
    <s v="#FutureOfDriving"/>
    <s v="FSDUpdate"/>
    <n v="50.032117163412124"/>
  </r>
  <r>
    <s v="P013"/>
    <x v="1"/>
    <d v="2024-11-18T00:00:00"/>
    <s v="Carousel"/>
    <s v="Check out our latest carousel on youtube!"/>
    <n v="1171"/>
    <n v="286"/>
    <n v="231"/>
    <n v="22249"/>
    <n v="21282"/>
    <n v="114"/>
    <s v="#EVRevolution"/>
    <s v="CybertruckLaunch"/>
    <n v="52.51247247067284"/>
  </r>
  <r>
    <s v="P014"/>
    <x v="3"/>
    <d v="2025-02-16T00:00:00"/>
    <s v="Story"/>
    <s v="Check out our latest story on facebook!"/>
    <n v="4242"/>
    <n v="555"/>
    <n v="131"/>
    <n v="33936"/>
    <n v="33802"/>
    <n v="265"/>
    <s v="#FutureOfDriving"/>
    <s v="Not available"/>
    <n v="34.428041018387553"/>
  </r>
  <r>
    <s v="P015"/>
    <x v="3"/>
    <d v="2024-10-24T00:00:00"/>
    <s v="Video"/>
    <s v="Check out our latest video on facebook!"/>
    <n v="3888"/>
    <n v="604"/>
    <n v="128"/>
    <n v="77760"/>
    <n v="77167"/>
    <n v="20"/>
    <s v="#FutureOfDriving"/>
    <s v="CybertruckLaunch"/>
    <n v="15.025077160493828"/>
  </r>
  <r>
    <s v="P016"/>
    <x v="3"/>
    <d v="2024-08-26T00:00:00"/>
    <s v="Text"/>
    <s v="Check out our latest text on facebook!"/>
    <n v="3452"/>
    <n v="377"/>
    <n v="360"/>
    <n v="55232"/>
    <n v="55075"/>
    <n v="87"/>
    <s v="#FutureOfDriving"/>
    <s v="FSDUpdate"/>
    <n v="21.153497972190035"/>
  </r>
  <r>
    <s v="P017"/>
    <x v="3"/>
    <d v="2025-05-05T00:00:00"/>
    <s v="Text"/>
    <s v="Check out our latest text on facebook!"/>
    <n v="4441"/>
    <n v="511"/>
    <n v="70"/>
    <n v="53292"/>
    <n v="53082"/>
    <n v="159"/>
    <s v="#EVRevolution"/>
    <s v="SustainabilityDrive"/>
    <n v="21.923553253771672"/>
  </r>
  <r>
    <s v="P018"/>
    <x v="2"/>
    <d v="2024-08-19T00:00:00"/>
    <s v="Reel"/>
    <s v="Check out our latest reel on instagram!"/>
    <n v="3000"/>
    <n v="382"/>
    <n v="325"/>
    <n v="36000"/>
    <n v="35819"/>
    <n v="19"/>
    <s v="#FutureOfDriving"/>
    <s v="CybertruckLaunch"/>
    <n v="32.454166666666666"/>
  </r>
  <r>
    <s v="P019"/>
    <x v="2"/>
    <d v="2024-06-23T00:00:00"/>
    <s v="Video"/>
    <s v="Check out our latest video on instagram!"/>
    <n v="1071"/>
    <n v="519"/>
    <n v="22"/>
    <n v="16065"/>
    <n v="15865"/>
    <n v="103"/>
    <s v="#TeslaCoInnovation"/>
    <s v="SustainabilityDrive"/>
    <n v="72.726423902894496"/>
  </r>
  <r>
    <s v="P020"/>
    <x v="2"/>
    <d v="2024-09-09T00:00:00"/>
    <s v="Carousel"/>
    <s v="Check out our latest carousel on instagram!"/>
    <n v="4054"/>
    <n v="488"/>
    <n v="373"/>
    <n v="77026"/>
    <n v="76881"/>
    <n v="25"/>
    <s v="#TeslaCoInnovation"/>
    <s v="CybertruckLaunch"/>
    <n v="15.168254874977281"/>
  </r>
  <r>
    <s v="P021"/>
    <x v="2"/>
    <d v="2025-01-04T00:00:00"/>
    <s v="Reel"/>
    <s v="Check out our latest reel on instagram!"/>
    <n v="4838"/>
    <n v="640"/>
    <n v="128"/>
    <n v="72570"/>
    <n v="72396"/>
    <n v="83"/>
    <s v="#FutureOfDriving"/>
    <s v="SustainabilityDrive"/>
    <n v="16.099627945431997"/>
  </r>
  <r>
    <s v="P022"/>
    <x v="3"/>
    <d v="2025-02-27T00:00:00"/>
    <s v="Text"/>
    <s v="Check out our latest text on facebook!"/>
    <n v="1570"/>
    <n v="187"/>
    <n v="260"/>
    <n v="25120"/>
    <n v="24613"/>
    <n v="133"/>
    <s v="#TeslaCoInnovation"/>
    <s v="SustainabilityDrive"/>
    <n v="46.510748407643312"/>
  </r>
  <r>
    <s v="P023"/>
    <x v="3"/>
    <d v="2024-11-06T00:00:00"/>
    <s v="Video"/>
    <s v="Check out our latest video on facebook!"/>
    <n v="1606"/>
    <n v="547"/>
    <n v="316"/>
    <n v="32120"/>
    <n v="31736"/>
    <n v="225"/>
    <s v="#TeslaCoInnovation"/>
    <s v="ModelYCampaign"/>
    <n v="36.374533001245332"/>
  </r>
  <r>
    <s v="P023"/>
    <x v="3"/>
    <d v="2024-11-06T00:00:00"/>
    <s v="Video"/>
    <s v="Check out our latest video on facebook!"/>
    <n v="1606"/>
    <n v="547"/>
    <n v="316"/>
    <n v="32120"/>
    <n v="31736"/>
    <n v="225"/>
    <s v="#AnytimeIsTeslaTime"/>
    <s v="ModelYCampaign"/>
    <n v="36.374533001245332"/>
  </r>
  <r>
    <s v="P024"/>
    <x v="3"/>
    <d v="2025-01-23T00:00:00"/>
    <s v="Video"/>
    <s v="Check out our latest video on facebook!"/>
    <n v="3961"/>
    <n v="761"/>
    <n v="131"/>
    <n v="67337"/>
    <n v="66615"/>
    <n v="161"/>
    <s v="#FutureOfDriving"/>
    <s v="FSDUpdate"/>
    <n v="17.350787828385585"/>
  </r>
  <r>
    <s v="P025"/>
    <x v="0"/>
    <d v="2025-04-10T00:00:00"/>
    <s v="Carousel"/>
    <s v="Check out our latest carousel on twitter!"/>
    <n v="3128"/>
    <n v="211"/>
    <n v="197"/>
    <n v="59432"/>
    <n v="59182"/>
    <n v="238"/>
    <s v="#EVRevolution"/>
    <s v="Not available"/>
    <n v="19.658601426840761"/>
  </r>
  <r>
    <s v="P026"/>
    <x v="1"/>
    <d v="2025-04-05T00:00:00"/>
    <s v="Reel"/>
    <s v="Check out our latest reel on youtube!"/>
    <n v="3009"/>
    <n v="413"/>
    <n v="358"/>
    <n v="42126"/>
    <n v="41309"/>
    <n v="211"/>
    <s v="#FutureOfDriving"/>
    <s v="ModelYCampaign"/>
    <n v="27.73465318330722"/>
  </r>
  <r>
    <s v="P027"/>
    <x v="1"/>
    <d v="2024-09-17T00:00:00"/>
    <s v="Text"/>
    <s v="Check out our latest text on youtube!"/>
    <n v="2076"/>
    <n v="195"/>
    <n v="104"/>
    <n v="33216"/>
    <n v="32244"/>
    <n v="51"/>
    <s v="#FutureOfDriving"/>
    <s v="SustainabilityDrive"/>
    <n v="35.174313583815028"/>
  </r>
  <r>
    <s v="P028"/>
    <x v="2"/>
    <d v="2025-03-04T00:00:00"/>
    <s v="Video"/>
    <s v="Check out our latest video on instagram!"/>
    <n v="432"/>
    <n v="624"/>
    <n v="123"/>
    <n v="6912"/>
    <n v="6259"/>
    <n v="79"/>
    <s v="#FutureOfDriving"/>
    <s v="SustainabilityDrive"/>
    <n v="169.03211805555554"/>
  </r>
  <r>
    <s v="P029"/>
    <x v="2"/>
    <d v="2025-01-31T00:00:00"/>
    <s v="Carousel"/>
    <s v="Check out our latest carousel on instagram!"/>
    <n v="2566"/>
    <n v="118"/>
    <n v="37"/>
    <n v="12830"/>
    <n v="12264"/>
    <n v="221"/>
    <s v="#FutureOfDriving"/>
    <s v="FSDUpdate"/>
    <n v="91.063912704598593"/>
  </r>
  <r>
    <s v="P030"/>
    <x v="2"/>
    <d v="2025-02-25T00:00:00"/>
    <s v="Video"/>
    <s v="Check out our latest video on instagram!"/>
    <n v="3095"/>
    <n v="39"/>
    <n v="78"/>
    <n v="55710"/>
    <n v="54808"/>
    <n v="93"/>
    <s v="#EVRevolution"/>
    <s v="Not available"/>
    <n v="20.971997845988152"/>
  </r>
  <r>
    <s v="P031"/>
    <x v="2"/>
    <d v="2024-12-16T00:00:00"/>
    <s v="Text"/>
    <s v="Check out our latest text on instagram!"/>
    <n v="438"/>
    <n v="153"/>
    <n v="275"/>
    <n v="3066"/>
    <n v="2701"/>
    <n v="282"/>
    <s v="#TeslaCoInnovation"/>
    <s v="ModelYCampaign"/>
    <n v="381.0665362035225"/>
  </r>
  <r>
    <s v="P032"/>
    <x v="0"/>
    <d v="2024-07-31T00:00:00"/>
    <s v="Carousel"/>
    <s v="Check out our latest carousel on twitter!"/>
    <n v="2278"/>
    <n v="10"/>
    <n v="321"/>
    <n v="13668"/>
    <n v="12676"/>
    <n v="275"/>
    <s v="#EVRevolution"/>
    <s v="CybertruckLaunch"/>
    <n v="85.480684811237921"/>
  </r>
  <r>
    <s v="P033"/>
    <x v="3"/>
    <d v="2024-08-21T00:00:00"/>
    <s v="Image"/>
    <s v="Check out our latest image on facebook!"/>
    <n v="1407"/>
    <n v="400"/>
    <n v="351"/>
    <n v="16884"/>
    <n v="15954"/>
    <n v="113"/>
    <s v="#TeslaCoInnovation"/>
    <s v="CybertruckLaunch"/>
    <n v="69.198649609097373"/>
  </r>
  <r>
    <s v="P034"/>
    <x v="3"/>
    <d v="2025-03-26T00:00:00"/>
    <s v="Text"/>
    <s v="Check out our latest text on facebook!"/>
    <n v="1652"/>
    <n v="89"/>
    <n v="357"/>
    <n v="29736"/>
    <n v="28771"/>
    <n v="215"/>
    <s v="#TeslaCoInnovation"/>
    <s v="FSDUpdate"/>
    <n v="39.290758676351899"/>
  </r>
  <r>
    <s v="P035"/>
    <x v="2"/>
    <d v="2024-11-30T00:00:00"/>
    <s v="Video"/>
    <s v="Check out our latest video on instagram!"/>
    <n v="3775"/>
    <n v="16"/>
    <n v="239"/>
    <n v="33975"/>
    <n v="33310"/>
    <n v="271"/>
    <s v="#FutureOfDriving"/>
    <s v="ModelYCampaign"/>
    <n v="34.388520971302427"/>
  </r>
  <r>
    <s v="P036"/>
    <x v="2"/>
    <d v="2025-04-19T00:00:00"/>
    <s v="Story"/>
    <s v="Check out our latest story on instagram!"/>
    <n v="4518"/>
    <n v="285"/>
    <n v="383"/>
    <n v="67770"/>
    <n v="67621"/>
    <n v="31"/>
    <s v="#EVRevolution"/>
    <s v="ModelYCampaign"/>
    <n v="17.239929172200089"/>
  </r>
  <r>
    <s v="P037"/>
    <x v="3"/>
    <d v="2025-01-06T00:00:00"/>
    <s v="Carousel"/>
    <s v="Check out our latest carousel on facebook!"/>
    <n v="3024"/>
    <n v="925"/>
    <n v="350"/>
    <n v="24192"/>
    <n v="23518"/>
    <n v="36"/>
    <s v="#EVRevolution"/>
    <s v="ModelYCampaign"/>
    <n v="48.294890873015873"/>
  </r>
  <r>
    <s v="P038"/>
    <x v="1"/>
    <d v="2025-02-17T00:00:00"/>
    <s v="Reel"/>
    <s v="Check out our latest reel on youtube!"/>
    <n v="3138"/>
    <n v="123"/>
    <n v="291"/>
    <n v="28242"/>
    <n v="27550"/>
    <n v="87"/>
    <s v="#TeslaCoInnovation"/>
    <s v="SustainabilityDrive"/>
    <n v="41.369237306139794"/>
  </r>
  <r>
    <s v="P039"/>
    <x v="3"/>
    <d v="2024-11-25T00:00:00"/>
    <s v="Image"/>
    <s v="Check out our latest image on facebook!"/>
    <n v="3564"/>
    <n v="629"/>
    <n v="177"/>
    <n v="60588"/>
    <n v="59627"/>
    <n v="92"/>
    <s v="#TeslaCoInnovation"/>
    <s v="Not available"/>
    <n v="19.283521489403842"/>
  </r>
  <r>
    <s v="P040"/>
    <x v="0"/>
    <d v="2025-03-07T00:00:00"/>
    <s v="Image"/>
    <s v="Check out our latest image on twitter!"/>
    <n v="4750"/>
    <n v="151"/>
    <n v="415"/>
    <n v="38000"/>
    <n v="37792"/>
    <n v="299"/>
    <s v="#EVRevolution"/>
    <s v="SustainabilityDrive"/>
    <n v="30.746052631578948"/>
  </r>
  <r>
    <s v="P041"/>
    <x v="2"/>
    <d v="2025-03-08T00:00:00"/>
    <s v="Reel"/>
    <s v="Check out our latest reel on instagram!"/>
    <n v="456"/>
    <n v="629"/>
    <n v="428"/>
    <n v="8208"/>
    <n v="7377"/>
    <n v="205"/>
    <s v="#FutureOfDriving"/>
    <s v="SustainabilityDrive"/>
    <n v="142.34283625730995"/>
  </r>
  <r>
    <s v="P042"/>
    <x v="1"/>
    <d v="2025-03-05T00:00:00"/>
    <s v="Reel"/>
    <s v="Check out our latest reel on youtube!"/>
    <n v="1543"/>
    <n v="820"/>
    <n v="333"/>
    <n v="12344"/>
    <n v="11496"/>
    <n v="241"/>
    <s v="#EVRevolution"/>
    <s v="Not available"/>
    <n v="94.649222294232018"/>
  </r>
  <r>
    <s v="P043"/>
    <x v="2"/>
    <d v="2024-12-14T00:00:00"/>
    <s v="Carousel"/>
    <s v="Check out our latest carousel on instagram!"/>
    <n v="2174"/>
    <n v="658"/>
    <n v="15"/>
    <n v="13044"/>
    <n v="12206"/>
    <n v="137"/>
    <s v="#TeslaCoInnovation"/>
    <s v="FSDUpdate"/>
    <n v="89.569917203311874"/>
  </r>
  <r>
    <s v="P044"/>
    <x v="0"/>
    <d v="2025-03-02T00:00:00"/>
    <s v="Image"/>
    <s v="Check out our latest image on twitter!"/>
    <n v="2358"/>
    <n v="784"/>
    <n v="344"/>
    <n v="35370"/>
    <n v="34475"/>
    <n v="216"/>
    <s v="#TeslaCoInnovation"/>
    <s v="Not available"/>
    <n v="33.032230703986428"/>
  </r>
  <r>
    <s v="P045"/>
    <x v="3"/>
    <d v="2024-11-01T00:00:00"/>
    <s v="Video"/>
    <s v="Check out our latest video on facebook!"/>
    <n v="3371"/>
    <n v="106"/>
    <n v="327"/>
    <n v="50565"/>
    <n v="49816"/>
    <n v="176"/>
    <s v="#FutureOfDriving"/>
    <s v="CybertruckLaunch"/>
    <n v="23.105903292791456"/>
  </r>
  <r>
    <s v="P046"/>
    <x v="0"/>
    <d v="2025-05-02T00:00:00"/>
    <s v="Video"/>
    <s v="Check out our latest video on twitter!"/>
    <n v="1108"/>
    <n v="177"/>
    <n v="212"/>
    <n v="8864"/>
    <n v="8710"/>
    <n v="97"/>
    <s v="#TeslaCoInnovation"/>
    <s v="SustainabilityDrive"/>
    <n v="131.80843862815885"/>
  </r>
  <r>
    <s v="P047"/>
    <x v="0"/>
    <d v="2025-02-24T00:00:00"/>
    <s v="Carousel"/>
    <s v="Check out our latest carousel on twitter!"/>
    <n v="2704"/>
    <n v="752"/>
    <n v="153"/>
    <n v="21632"/>
    <n v="20792"/>
    <n v="127"/>
    <s v="#FutureOfDriving"/>
    <s v="Not available"/>
    <n v="54.010262573964496"/>
  </r>
  <r>
    <s v="P048"/>
    <x v="0"/>
    <d v="2025-03-11T00:00:00"/>
    <s v="Story"/>
    <s v="Check out our latest story on twitter!"/>
    <n v="1950"/>
    <n v="295"/>
    <n v="478"/>
    <n v="37050"/>
    <n v="36272"/>
    <n v="119"/>
    <s v="#TeslaCoInnovation"/>
    <s v="Not available"/>
    <n v="31.534412955465587"/>
  </r>
  <r>
    <s v="P049"/>
    <x v="0"/>
    <d v="2024-06-10T00:00:00"/>
    <s v="Story"/>
    <s v="Check out our latest story on twitter!"/>
    <n v="2164"/>
    <n v="549"/>
    <n v="274"/>
    <n v="28132"/>
    <n v="27361"/>
    <n v="177"/>
    <s v="#TeslaCoInnovation"/>
    <s v="SustainabilityDrive"/>
    <n v="41.530996729702828"/>
  </r>
  <r>
    <s v="P050"/>
    <x v="1"/>
    <d v="2024-07-03T00:00:00"/>
    <s v="Story"/>
    <s v="Check out our latest story on youtube!"/>
    <n v="2754"/>
    <n v="130"/>
    <n v="90"/>
    <n v="22032"/>
    <n v="21288"/>
    <n v="112"/>
    <s v="#TeslaCoInnovation"/>
    <s v="FSDUpdate"/>
    <n v="53.029684095860567"/>
  </r>
  <r>
    <s v="P051"/>
    <x v="3"/>
    <d v="2024-06-13T00:00:00"/>
    <s v="Carousel"/>
    <s v="Check out our latest carousel on facebook!"/>
    <n v="2200"/>
    <n v="504"/>
    <n v="239"/>
    <n v="37400"/>
    <n v="36938"/>
    <n v="225"/>
    <s v="#FutureOfDriving"/>
    <s v="ModelYCampaign"/>
    <n v="31.239304812834224"/>
  </r>
  <r>
    <s v="P052"/>
    <x v="3"/>
    <d v="2025-01-03T00:00:00"/>
    <s v="Image"/>
    <s v="Check out our latest image on facebook!"/>
    <n v="947"/>
    <n v="338"/>
    <n v="350"/>
    <n v="10417"/>
    <n v="9730"/>
    <n v="34"/>
    <s v="#TeslaCoInnovation"/>
    <s v="SustainabilityDrive"/>
    <n v="112.1580109436498"/>
  </r>
  <r>
    <s v="P053"/>
    <x v="1"/>
    <d v="2025-02-24T00:00:00"/>
    <s v="Carousel"/>
    <s v="Check out our latest carousel on youtube!"/>
    <n v="804"/>
    <n v="639"/>
    <n v="43"/>
    <n v="4020"/>
    <n v="3144"/>
    <n v="11"/>
    <s v="#EVRevolution"/>
    <s v="Not available"/>
    <n v="290.63432835820896"/>
  </r>
  <r>
    <s v="P053"/>
    <x v="1"/>
    <d v="2025-02-24T00:00:00"/>
    <s v="Carousel"/>
    <s v="Check out our latest carousel on youtube!"/>
    <n v="804"/>
    <n v="639"/>
    <n v="43"/>
    <n v="4020"/>
    <n v="3144"/>
    <n v="11"/>
    <s v="#BetterWithTesla"/>
    <s v="Not available"/>
    <n v="290.63432835820896"/>
  </r>
  <r>
    <s v="P054"/>
    <x v="1"/>
    <d v="2025-03-13T00:00:00"/>
    <s v="Carousel"/>
    <s v="Check out our latest carousel on youtube!"/>
    <n v="1686"/>
    <n v="904"/>
    <n v="472"/>
    <n v="18546"/>
    <n v="18171"/>
    <n v="52"/>
    <s v="#FutureOfDriving"/>
    <s v="ModelYCampaign"/>
    <n v="62.997411840828214"/>
  </r>
  <r>
    <s v="P055"/>
    <x v="3"/>
    <d v="2024-06-17T00:00:00"/>
    <s v="Image"/>
    <s v="Check out our latest image on facebook!"/>
    <n v="1226"/>
    <n v="119"/>
    <n v="7"/>
    <n v="14712"/>
    <n v="14049"/>
    <n v="123"/>
    <s v="#EVRevolution"/>
    <s v="SustainabilityDrive"/>
    <n v="79.41476345840131"/>
  </r>
  <r>
    <s v="P056"/>
    <x v="3"/>
    <d v="2024-12-18T00:00:00"/>
    <s v="Carousel"/>
    <s v="Check out our latest carousel on facebook!"/>
    <n v="2946"/>
    <n v="498"/>
    <n v="367"/>
    <n v="29460"/>
    <n v="28527"/>
    <n v="60"/>
    <s v="#FutureOfDriving"/>
    <s v="FSDUpdate"/>
    <n v="39.658859470468428"/>
  </r>
  <r>
    <s v="P057"/>
    <x v="0"/>
    <d v="2024-10-21T00:00:00"/>
    <s v="Video"/>
    <s v="Check out our latest video on twitter!"/>
    <n v="2825"/>
    <n v="535"/>
    <n v="295"/>
    <n v="45200"/>
    <n v="44739"/>
    <n v="169"/>
    <s v="#TeslaCoInnovation"/>
    <s v="CybertruckLaunch"/>
    <n v="25.848451327433629"/>
  </r>
  <r>
    <s v="P058"/>
    <x v="2"/>
    <d v="2025-04-15T00:00:00"/>
    <s v="Reel"/>
    <s v="Check out our latest reel on instagram!"/>
    <n v="103"/>
    <n v="770"/>
    <n v="19"/>
    <n v="1030"/>
    <n v="410"/>
    <n v="262"/>
    <s v="#TeslaCoInnovation"/>
    <s v="SustainabilityDrive"/>
    <n v="1134.3203883495146"/>
  </r>
  <r>
    <s v="P059"/>
    <x v="2"/>
    <d v="2024-06-22T00:00:00"/>
    <s v="Text"/>
    <s v="Check out our latest text on instagram!"/>
    <n v="2180"/>
    <n v="263"/>
    <n v="387"/>
    <n v="30520"/>
    <n v="30059"/>
    <n v="174"/>
    <s v="#EVRevolution"/>
    <s v="Not available"/>
    <n v="38.281454783748359"/>
  </r>
  <r>
    <s v="P060"/>
    <x v="2"/>
    <d v="2025-01-28T00:00:00"/>
    <s v="Video"/>
    <s v="Check out our latest video on instagram!"/>
    <n v="904"/>
    <n v="973"/>
    <n v="63"/>
    <n v="11752"/>
    <n v="11580"/>
    <n v="84"/>
    <s v="#EVRevolution"/>
    <s v="FSDUpdate"/>
    <n v="99.417120490129335"/>
  </r>
  <r>
    <s v="P060"/>
    <x v="2"/>
    <d v="2025-01-28T00:00:00"/>
    <s v="Video"/>
    <s v="Check out our latest video on instagram!"/>
    <n v="904"/>
    <n v="973"/>
    <n v="63"/>
    <n v="11752"/>
    <n v="11580"/>
    <n v="84"/>
    <s v="#TeslaCoInnovation"/>
    <s v="FSDUpdate"/>
    <n v="99.417120490129335"/>
  </r>
  <r>
    <s v="P060"/>
    <x v="2"/>
    <d v="2025-01-28T00:00:00"/>
    <s v="Video"/>
    <s v="Check out our latest video on instagram!"/>
    <n v="904"/>
    <n v="973"/>
    <n v="63"/>
    <n v="11752"/>
    <n v="11580"/>
    <n v="84"/>
    <s v="#AnytimeIsTeslaTime"/>
    <s v="FSDUpdate"/>
    <n v="99.417120490129335"/>
  </r>
  <r>
    <s v="P061"/>
    <x v="0"/>
    <d v="2024-09-05T00:00:00"/>
    <s v="Video"/>
    <s v="Check out our latest video on twitter!"/>
    <n v="4886"/>
    <n v="983"/>
    <n v="409"/>
    <n v="43974"/>
    <n v="43239"/>
    <n v="65"/>
    <s v="#TeslaCoInnovation"/>
    <s v="CybertruckLaunch"/>
    <n v="26.569109018965751"/>
  </r>
  <r>
    <s v="P062"/>
    <x v="0"/>
    <d v="2024-11-22T00:00:00"/>
    <s v="Carousel"/>
    <s v="Check out our latest carousel on twitter!"/>
    <n v="53"/>
    <n v="81"/>
    <n v="379"/>
    <n v="954"/>
    <n v="7"/>
    <n v="148"/>
    <s v="#TeslaCoInnovation"/>
    <s v="FSDUpdate"/>
    <n v="1224.6855345911949"/>
  </r>
  <r>
    <s v="P063"/>
    <x v="0"/>
    <d v="2024-07-31T00:00:00"/>
    <s v="Carousel"/>
    <s v="Check out our latest carousel on twitter!"/>
    <n v="4507"/>
    <n v="217"/>
    <n v="13"/>
    <n v="90140"/>
    <n v="89591"/>
    <n v="125"/>
    <s v="#FutureOfDriving"/>
    <s v="FSDUpdate"/>
    <n v="12.961504326603063"/>
  </r>
  <r>
    <s v="P064"/>
    <x v="3"/>
    <d v="2024-08-17T00:00:00"/>
    <s v="Image"/>
    <s v="Check out our latest image on facebook!"/>
    <n v="2878"/>
    <n v="248"/>
    <n v="416"/>
    <n v="43170"/>
    <n v="42667"/>
    <n v="75"/>
    <s v="#FutureOfDriving"/>
    <s v="FSDUpdate"/>
    <n v="27.063933287004865"/>
  </r>
  <r>
    <s v="P065"/>
    <x v="2"/>
    <d v="2025-03-28T00:00:00"/>
    <s v="Story"/>
    <s v="Check out our latest story on instagram!"/>
    <n v="1881"/>
    <n v="501"/>
    <n v="99"/>
    <n v="20691"/>
    <n v="19987"/>
    <n v="289"/>
    <s v="#EVRevolution"/>
    <s v="Not available"/>
    <n v="56.466579672321302"/>
  </r>
  <r>
    <s v="P066"/>
    <x v="0"/>
    <d v="2024-07-26T00:00:00"/>
    <s v="Carousel"/>
    <s v="Check out our latest carousel on twitter!"/>
    <n v="432"/>
    <n v="171"/>
    <n v="280"/>
    <n v="3024"/>
    <n v="2285"/>
    <n v="184"/>
    <s v="#EVRevolution"/>
    <s v="CybertruckLaunch"/>
    <n v="386.35912698412699"/>
  </r>
  <r>
    <s v="P067"/>
    <x v="3"/>
    <d v="2025-03-29T00:00:00"/>
    <s v="Carousel"/>
    <s v="Check out our latest carousel on facebook!"/>
    <n v="4712"/>
    <n v="568"/>
    <n v="127"/>
    <n v="84816"/>
    <n v="84691"/>
    <n v="100"/>
    <s v="#EVRevolution"/>
    <s v="FSDUpdate"/>
    <n v="13.775113186191284"/>
  </r>
  <r>
    <s v="P068"/>
    <x v="2"/>
    <d v="2024-12-08T00:00:00"/>
    <s v="Story"/>
    <s v="Check out our latest story on instagram!"/>
    <n v="2610"/>
    <n v="126"/>
    <n v="288"/>
    <n v="15660"/>
    <n v="15145"/>
    <n v="73"/>
    <s v="#EVRevolution"/>
    <s v="Not available"/>
    <n v="74.607279693486589"/>
  </r>
  <r>
    <s v="P069"/>
    <x v="0"/>
    <d v="2025-03-08T00:00:00"/>
    <s v="Text"/>
    <s v="Check out our latest text on twitter!"/>
    <n v="1292"/>
    <n v="626"/>
    <n v="496"/>
    <n v="25840"/>
    <n v="24916"/>
    <n v="149"/>
    <s v="#FutureOfDriving"/>
    <s v="FSDUpdate"/>
    <n v="45.214783281733745"/>
  </r>
  <r>
    <s v="P070"/>
    <x v="3"/>
    <d v="2025-04-02T00:00:00"/>
    <s v="Video"/>
    <s v="Check out our latest video on facebook!"/>
    <n v="199"/>
    <n v="772"/>
    <n v="400"/>
    <n v="3582"/>
    <n v="2988"/>
    <n v="43"/>
    <s v="#TeslaCoInnovation"/>
    <s v="Not available"/>
    <n v="326.17252931323281"/>
  </r>
  <r>
    <s v="P071"/>
    <x v="1"/>
    <d v="2024-09-02T00:00:00"/>
    <s v="Carousel"/>
    <s v="Check out our latest carousel on youtube!"/>
    <n v="2551"/>
    <n v="915"/>
    <n v="205"/>
    <n v="30612"/>
    <n v="30360"/>
    <n v="227"/>
    <s v="#TeslaCoInnovation"/>
    <s v="ModelYCampaign"/>
    <n v="38.16640533124265"/>
  </r>
  <r>
    <s v="P072"/>
    <x v="1"/>
    <d v="2025-03-03T00:00:00"/>
    <s v="Reel"/>
    <s v="Check out our latest reel on youtube!"/>
    <n v="296"/>
    <n v="60"/>
    <n v="141"/>
    <n v="5624"/>
    <n v="5239"/>
    <n v="88"/>
    <s v="#EVRevolution"/>
    <s v="ModelYCampaign"/>
    <n v="207.74359886201992"/>
  </r>
  <r>
    <s v="P073"/>
    <x v="3"/>
    <d v="2024-10-18T00:00:00"/>
    <s v="Story"/>
    <s v="Check out our latest story on facebook!"/>
    <n v="4126"/>
    <n v="426"/>
    <n v="486"/>
    <n v="78394"/>
    <n v="77798"/>
    <n v="88"/>
    <s v="#FutureOfDriving"/>
    <s v="SustainabilityDrive"/>
    <n v="14.903564048269001"/>
  </r>
  <r>
    <s v="P074"/>
    <x v="1"/>
    <d v="2024-10-28T00:00:00"/>
    <s v="Reel"/>
    <s v="Check out our latest reel on youtube!"/>
    <n v="1855"/>
    <n v="200"/>
    <n v="174"/>
    <n v="16695"/>
    <n v="16330"/>
    <n v="123"/>
    <s v="#TeslaCoInnovation"/>
    <s v="FSDUpdate"/>
    <n v="69.98203054806828"/>
  </r>
  <r>
    <s v="P075"/>
    <x v="2"/>
    <d v="2024-08-01T00:00:00"/>
    <s v="Reel"/>
    <s v="Check out our latest reel on instagram!"/>
    <n v="1674"/>
    <n v="929"/>
    <n v="37"/>
    <n v="21762"/>
    <n v="20998"/>
    <n v="255"/>
    <s v="#TeslaCoInnovation"/>
    <s v="SustainabilityDrive"/>
    <n v="53.687620623104493"/>
  </r>
  <r>
    <s v="P076"/>
    <x v="0"/>
    <d v="2024-11-07T00:00:00"/>
    <s v="Story"/>
    <s v="Check out our latest story on twitter!"/>
    <n v="1121"/>
    <n v="135"/>
    <n v="18"/>
    <n v="15694"/>
    <n v="14957"/>
    <n v="99"/>
    <s v="#TeslaCoInnovation"/>
    <s v="SustainabilityDrive"/>
    <n v="74.445648018350965"/>
  </r>
  <r>
    <s v="P077"/>
    <x v="3"/>
    <d v="2025-03-04T00:00:00"/>
    <s v="Story"/>
    <s v="Check out our latest story on facebook!"/>
    <n v="1249"/>
    <n v="116"/>
    <n v="420"/>
    <n v="8743"/>
    <n v="8538"/>
    <n v="63"/>
    <s v="#TeslaCoInnovation"/>
    <s v="Not available"/>
    <n v="133.63262038201989"/>
  </r>
  <r>
    <s v="P078"/>
    <x v="0"/>
    <d v="2024-06-17T00:00:00"/>
    <s v="Image"/>
    <s v="Check out our latest image on twitter!"/>
    <n v="954"/>
    <n v="324"/>
    <n v="288"/>
    <n v="19080"/>
    <n v="18859"/>
    <n v="21"/>
    <s v="#FutureOfDriving"/>
    <s v="SustainabilityDrive"/>
    <n v="61.234276729559745"/>
  </r>
  <r>
    <s v="P079"/>
    <x v="2"/>
    <d v="2024-10-09T00:00:00"/>
    <s v="Carousel"/>
    <s v="Check out our latest carousel on instagram!"/>
    <n v="3068"/>
    <n v="137"/>
    <n v="329"/>
    <n v="39884"/>
    <n v="39404"/>
    <n v="266"/>
    <s v="#EVRevolution"/>
    <s v="ModelYCampaign"/>
    <n v="29.293701735031593"/>
  </r>
  <r>
    <s v="P080"/>
    <x v="2"/>
    <d v="2024-06-13T00:00:00"/>
    <s v="Story"/>
    <s v="Check out our latest story on instagram!"/>
    <n v="2103"/>
    <n v="892"/>
    <n v="103"/>
    <n v="39957"/>
    <n v="39466"/>
    <n v="28"/>
    <s v="#FutureOfDriving"/>
    <s v="Not available"/>
    <n v="29.240183196936705"/>
  </r>
  <r>
    <s v="P081"/>
    <x v="2"/>
    <d v="2024-10-19T00:00:00"/>
    <s v="Story"/>
    <s v="Check out our latest story on instagram!"/>
    <n v="1816"/>
    <n v="29"/>
    <n v="41"/>
    <n v="19976"/>
    <n v="19262"/>
    <n v="283"/>
    <s v="#TeslaCoInnovation"/>
    <s v="FSDUpdate"/>
    <n v="58.48768522226672"/>
  </r>
  <r>
    <s v="P082"/>
    <x v="2"/>
    <d v="2024-07-24T00:00:00"/>
    <s v="Image"/>
    <s v="Check out our latest image on instagram!"/>
    <n v="725"/>
    <n v="88"/>
    <n v="428"/>
    <n v="14500"/>
    <n v="13637"/>
    <n v="200"/>
    <s v="#FutureOfDriving"/>
    <s v="FSDUpdate"/>
    <n v="80.57586206896552"/>
  </r>
  <r>
    <s v="P082"/>
    <x v="2"/>
    <d v="2024-07-24T00:00:00"/>
    <s v="Image"/>
    <s v="Check out our latest image on instagram!"/>
    <n v="725"/>
    <n v="88"/>
    <n v="428"/>
    <n v="14500"/>
    <n v="13637"/>
    <n v="200"/>
    <s v="#TeslaCoInnovation"/>
    <s v="FSDUpdate"/>
    <n v="80.57586206896552"/>
  </r>
  <r>
    <s v="P082"/>
    <x v="2"/>
    <d v="2024-07-24T00:00:00"/>
    <s v="Image"/>
    <s v="Check out our latest image on instagram!"/>
    <n v="725"/>
    <n v="88"/>
    <n v="428"/>
    <n v="14500"/>
    <n v="13637"/>
    <n v="200"/>
    <s v="#AnytimeIsTeslaTime"/>
    <s v="FSDUpdate"/>
    <n v="80.57586206896552"/>
  </r>
  <r>
    <s v="P083"/>
    <x v="1"/>
    <d v="2024-10-15T00:00:00"/>
    <s v="Video"/>
    <s v="Check out our latest video on youtube!"/>
    <n v="1094"/>
    <n v="472"/>
    <n v="21"/>
    <n v="9846"/>
    <n v="9609"/>
    <n v="112"/>
    <s v="#EVRevolution"/>
    <s v="Not available"/>
    <n v="118.66240097501523"/>
  </r>
  <r>
    <s v="P084"/>
    <x v="3"/>
    <d v="2024-12-09T00:00:00"/>
    <s v="Image"/>
    <s v="Check out our latest image on facebook!"/>
    <n v="1841"/>
    <n v="851"/>
    <n v="342"/>
    <n v="34979"/>
    <n v="34154"/>
    <n v="255"/>
    <s v="#FutureOfDriving"/>
    <s v="SustainabilityDrive"/>
    <n v="33.401469453100432"/>
  </r>
  <r>
    <s v="P085"/>
    <x v="2"/>
    <d v="2025-04-19T00:00:00"/>
    <s v="Image"/>
    <s v="Check out our latest image on instagram!"/>
    <n v="4177"/>
    <n v="569"/>
    <n v="55"/>
    <n v="25062"/>
    <n v="24847"/>
    <n v="230"/>
    <s v="#FutureOfDriving"/>
    <s v="CybertruckLaunch"/>
    <n v="46.618386401723725"/>
  </r>
  <r>
    <s v="P086"/>
    <x v="1"/>
    <d v="2025-01-27T00:00:00"/>
    <s v="Text"/>
    <s v="Check out our latest text on youtube!"/>
    <n v="3428"/>
    <n v="305"/>
    <n v="85"/>
    <n v="58276"/>
    <n v="58052"/>
    <n v="242"/>
    <s v="#EVRevolution"/>
    <s v="SustainabilityDrive"/>
    <n v="20.048562015237835"/>
  </r>
  <r>
    <s v="P086"/>
    <x v="1"/>
    <d v="2025-01-27T00:00:00"/>
    <s v="Text"/>
    <s v="Check out our latest text on youtube!"/>
    <n v="3428"/>
    <n v="305"/>
    <n v="85"/>
    <n v="58276"/>
    <n v="58052"/>
    <n v="242"/>
    <s v="#BetterWithTesla"/>
    <s v="SustainabilityDrive"/>
    <n v="20.048562015237835"/>
  </r>
  <r>
    <s v="P087"/>
    <x v="0"/>
    <d v="2024-06-06T00:00:00"/>
    <s v="Video"/>
    <s v="Check out our latest video on twitter!"/>
    <n v="1436"/>
    <n v="765"/>
    <n v="496"/>
    <n v="12924"/>
    <n v="12701"/>
    <n v="197"/>
    <s v="#FutureOfDriving"/>
    <s v="FSDUpdate"/>
    <n v="90.401578458681527"/>
  </r>
  <r>
    <s v="P088"/>
    <x v="3"/>
    <d v="2024-07-07T00:00:00"/>
    <s v="Story"/>
    <s v="Check out our latest story on facebook!"/>
    <n v="302"/>
    <n v="47"/>
    <n v="430"/>
    <n v="5738"/>
    <n v="4890"/>
    <n v="25"/>
    <s v="#TeslaCoInnovation"/>
    <s v="SustainabilityDrive"/>
    <n v="203.61624259323807"/>
  </r>
  <r>
    <s v="P089"/>
    <x v="0"/>
    <d v="2025-01-10T00:00:00"/>
    <s v="Image"/>
    <s v="Check out our latest image on twitter!"/>
    <n v="2214"/>
    <n v="249"/>
    <n v="152"/>
    <n v="15498"/>
    <n v="14800"/>
    <n v="180"/>
    <s v="#EVRevolution"/>
    <s v="Not available"/>
    <n v="75.387146728610148"/>
  </r>
  <r>
    <s v="P090"/>
    <x v="2"/>
    <d v="2024-06-03T00:00:00"/>
    <s v="Image"/>
    <s v="Check out our latest image on instagram!"/>
    <n v="3861"/>
    <n v="960"/>
    <n v="101"/>
    <n v="69498"/>
    <n v="68817"/>
    <n v="297"/>
    <s v="#TeslaCoInnovation"/>
    <s v="SustainabilityDrive"/>
    <n v="16.811275144608476"/>
  </r>
  <r>
    <s v="P091"/>
    <x v="3"/>
    <d v="2025-03-24T00:00:00"/>
    <s v="Image"/>
    <s v="Check out our latest image on facebook!"/>
    <n v="1263"/>
    <n v="397"/>
    <n v="357"/>
    <n v="25260"/>
    <n v="24615"/>
    <n v="137"/>
    <s v="#EVRevolution"/>
    <s v="SustainabilityDrive"/>
    <n v="46.25296912114014"/>
  </r>
  <r>
    <s v="P092"/>
    <x v="0"/>
    <d v="2024-10-21T00:00:00"/>
    <s v="Story"/>
    <s v="Check out our latest story on twitter!"/>
    <n v="3801"/>
    <n v="967"/>
    <n v="401"/>
    <n v="38010"/>
    <n v="37625"/>
    <n v="236"/>
    <s v="#FutureOfDriving"/>
    <s v="FSDUpdate"/>
    <n v="30.737963693764797"/>
  </r>
  <r>
    <s v="P093"/>
    <x v="2"/>
    <d v="2024-12-11T00:00:00"/>
    <s v="Video"/>
    <s v="Check out our latest video on instagram!"/>
    <n v="1431"/>
    <n v="951"/>
    <n v="26"/>
    <n v="8586"/>
    <n v="8396"/>
    <n v="150"/>
    <s v="#EVRevolution"/>
    <s v="FSDUpdate"/>
    <n v="136.07617051013278"/>
  </r>
  <r>
    <s v="P094"/>
    <x v="2"/>
    <d v="2024-11-07T00:00:00"/>
    <s v="Image"/>
    <s v="Check out our latest image on instagram!"/>
    <n v="2647"/>
    <n v="304"/>
    <n v="170"/>
    <n v="18529"/>
    <n v="17841"/>
    <n v="46"/>
    <s v="#FutureOfDriving"/>
    <s v="FSDUpdate"/>
    <n v="63.055210750715098"/>
  </r>
  <r>
    <s v="P095"/>
    <x v="2"/>
    <d v="2024-11-08T00:00:00"/>
    <s v="Text"/>
    <s v="Check out our latest text on instagram!"/>
    <n v="3182"/>
    <n v="559"/>
    <n v="160"/>
    <n v="57276"/>
    <n v="56890"/>
    <n v="163"/>
    <s v="#FutureOfDriving"/>
    <s v="SustainabilityDrive"/>
    <n v="20.398596270689293"/>
  </r>
  <r>
    <s v="P096"/>
    <x v="0"/>
    <d v="2024-09-10T00:00:00"/>
    <s v="Image"/>
    <s v="Check out our latest image on twitter!"/>
    <n v="1238"/>
    <n v="366"/>
    <n v="444"/>
    <n v="19808"/>
    <n v="19334"/>
    <n v="123"/>
    <s v="#FutureOfDriving"/>
    <s v="Not available"/>
    <n v="58.983743941841681"/>
  </r>
  <r>
    <s v="P097"/>
    <x v="2"/>
    <d v="2024-08-13T00:00:00"/>
    <s v="Image"/>
    <s v="Check out our latest image on instagram!"/>
    <n v="4739"/>
    <n v="527"/>
    <n v="135"/>
    <n v="61607"/>
    <n v="61333"/>
    <n v="36"/>
    <s v="#TeslaCoInnovation"/>
    <s v="ModelYCampaign"/>
    <n v="18.964565714934992"/>
  </r>
  <r>
    <s v="P097"/>
    <x v="2"/>
    <d v="2024-08-13T00:00:00"/>
    <s v="Image"/>
    <s v="Check out our latest image on instagram!"/>
    <n v="4739"/>
    <n v="527"/>
    <n v="135"/>
    <n v="61607"/>
    <n v="61333"/>
    <n v="36"/>
    <s v="#AnytimeIsTeslaTime"/>
    <s v="ModelYCampaign"/>
    <n v="18.964565714934992"/>
  </r>
  <r>
    <s v="P098"/>
    <x v="0"/>
    <d v="2024-06-10T00:00:00"/>
    <s v="Story"/>
    <s v="Check out our latest story on twitter!"/>
    <n v="1575"/>
    <n v="771"/>
    <n v="486"/>
    <n v="25200"/>
    <n v="24826"/>
    <n v="17"/>
    <s v="#FutureOfDriving"/>
    <s v="SustainabilityDrive"/>
    <n v="46.363095238095241"/>
  </r>
  <r>
    <s v="P099"/>
    <x v="1"/>
    <d v="2024-07-02T00:00:00"/>
    <s v="Carousel"/>
    <s v="Check out our latest carousel on youtube!"/>
    <n v="4171"/>
    <n v="548"/>
    <n v="86"/>
    <n v="66736"/>
    <n v="66634"/>
    <n v="173"/>
    <s v="#FutureOfDriving"/>
    <s v="FSDUpdate"/>
    <n v="17.50704267561736"/>
  </r>
  <r>
    <s v="P100"/>
    <x v="1"/>
    <d v="2025-02-10T00:00:00"/>
    <s v="Video"/>
    <s v="Check out our latest video on youtube!"/>
    <n v="1766"/>
    <n v="92"/>
    <n v="424"/>
    <n v="24724"/>
    <n v="24333"/>
    <n v="52"/>
    <s v="#EVRevolution"/>
    <s v="Not available"/>
    <n v="47.255702960685973"/>
  </r>
  <r>
    <s v="P101"/>
    <x v="1"/>
    <d v="2024-10-18T00:00:00"/>
    <s v="Video"/>
    <s v="Check out our latest video on youtube!"/>
    <n v="4450"/>
    <n v="983"/>
    <n v="143"/>
    <n v="75650"/>
    <n v="75008"/>
    <n v="12"/>
    <s v="#FutureOfDriving"/>
    <s v="FSDUpdate"/>
    <n v="15.44415069398546"/>
  </r>
  <r>
    <s v="P102"/>
    <x v="0"/>
    <d v="2024-09-18T00:00:00"/>
    <s v="Reel"/>
    <s v="Check out our latest reel on twitter!"/>
    <n v="1000"/>
    <n v="978"/>
    <n v="162"/>
    <n v="6000"/>
    <n v="5221"/>
    <n v="223"/>
    <s v="#EVRevolution"/>
    <s v="ModelYCampaign"/>
    <n v="194.72499999999999"/>
  </r>
  <r>
    <s v="P103"/>
    <x v="3"/>
    <d v="2024-06-11T00:00:00"/>
    <s v="Image"/>
    <s v="Check out our latest image on facebook!"/>
    <n v="3689"/>
    <n v="48"/>
    <n v="306"/>
    <n v="40579"/>
    <n v="39588"/>
    <n v="212"/>
    <s v="#EVRevolution"/>
    <s v="ModelYCampaign"/>
    <n v="28.791986002612187"/>
  </r>
  <r>
    <s v="P104"/>
    <x v="1"/>
    <d v="2025-03-23T00:00:00"/>
    <s v="Story"/>
    <s v="Check out our latest story on youtube!"/>
    <n v="3655"/>
    <n v="568"/>
    <n v="286"/>
    <n v="32895"/>
    <n v="32015"/>
    <n v="199"/>
    <s v="#TeslaCoInnovation"/>
    <s v="FSDUpdate"/>
    <n v="35.517555859553127"/>
  </r>
  <r>
    <s v="P105"/>
    <x v="2"/>
    <d v="2024-06-14T00:00:00"/>
    <s v="Carousel"/>
    <s v="Check out our latest carousel on instagram!"/>
    <n v="498"/>
    <n v="38"/>
    <n v="42"/>
    <n v="4482"/>
    <n v="3647"/>
    <n v="32"/>
    <s v="#FutureOfDriving"/>
    <s v="CybertruckLaunch"/>
    <n v="260.67603748326638"/>
  </r>
  <r>
    <s v="P106"/>
    <x v="2"/>
    <d v="2025-02-04T00:00:00"/>
    <s v="Image"/>
    <s v="Check out our latest image on instagram!"/>
    <n v="4619"/>
    <n v="821"/>
    <n v="499"/>
    <n v="69285"/>
    <n v="69141"/>
    <n v="298"/>
    <s v="#TeslaCoInnovation"/>
    <s v="SustainabilityDrive"/>
    <n v="16.862957350075774"/>
  </r>
  <r>
    <s v="P107"/>
    <x v="1"/>
    <d v="2024-06-21T00:00:00"/>
    <s v="Image"/>
    <s v="Check out our latest image on youtube!"/>
    <n v="4832"/>
    <n v="893"/>
    <n v="10"/>
    <n v="91808"/>
    <n v="91296"/>
    <n v="182"/>
    <s v="#TeslaCoInnovation"/>
    <s v="Not available"/>
    <n v="12.726015162077379"/>
  </r>
  <r>
    <s v="P108"/>
    <x v="0"/>
    <d v="2025-03-25T00:00:00"/>
    <s v="Video"/>
    <s v="Check out our latest video on twitter!"/>
    <n v="4050"/>
    <n v="871"/>
    <n v="347"/>
    <n v="52650"/>
    <n v="51755"/>
    <n v="209"/>
    <s v="#TeslaCoInnovation"/>
    <s v="ModelYCampaign"/>
    <n v="22.190883190883191"/>
  </r>
  <r>
    <s v="P109"/>
    <x v="0"/>
    <d v="2024-08-08T00:00:00"/>
    <s v="Story"/>
    <s v="Check out our latest story on twitter!"/>
    <n v="3649"/>
    <n v="215"/>
    <n v="413"/>
    <n v="25543"/>
    <n v="24963"/>
    <n v="167"/>
    <s v="#FutureOfDriving"/>
    <s v="FSDUpdate"/>
    <n v="45.740515992639864"/>
  </r>
  <r>
    <s v="P110"/>
    <x v="2"/>
    <d v="2024-07-29T00:00:00"/>
    <s v="Reel"/>
    <s v="Check out our latest reel on instagram!"/>
    <n v="3523"/>
    <n v="753"/>
    <n v="482"/>
    <n v="38753"/>
    <n v="38579"/>
    <n v="270"/>
    <s v="#EVRevolution"/>
    <s v="ModelYCampaign"/>
    <n v="30.148633654168709"/>
  </r>
  <r>
    <s v="P111"/>
    <x v="1"/>
    <d v="2024-11-23T00:00:00"/>
    <s v="Image"/>
    <s v="Check out our latest image on youtube!"/>
    <n v="2719"/>
    <n v="17"/>
    <n v="285"/>
    <n v="40785"/>
    <n v="40281"/>
    <n v="40"/>
    <s v="#TeslaCoInnovation"/>
    <s v="ModelYCampaign"/>
    <n v="28.646561235748436"/>
  </r>
  <r>
    <s v="P112"/>
    <x v="0"/>
    <d v="2024-10-05T00:00:00"/>
    <s v="Story"/>
    <s v="Check out our latest story on twitter!"/>
    <n v="1957"/>
    <n v="877"/>
    <n v="238"/>
    <n v="17613"/>
    <n v="16865"/>
    <n v="297"/>
    <s v="#FutureOfDriving"/>
    <s v="FSDUpdate"/>
    <n v="66.334525634474531"/>
  </r>
  <r>
    <s v="P113"/>
    <x v="0"/>
    <d v="2024-10-02T00:00:00"/>
    <s v="Carousel"/>
    <s v="Check out our latest carousel on twitter!"/>
    <n v="4419"/>
    <n v="236"/>
    <n v="369"/>
    <n v="44190"/>
    <n v="43582"/>
    <n v="10"/>
    <s v="#EVRevolution"/>
    <s v="CybertruckLaunch"/>
    <n v="26.439239646978955"/>
  </r>
  <r>
    <s v="P114"/>
    <x v="0"/>
    <d v="2024-11-14T00:00:00"/>
    <s v="Story"/>
    <s v="Check out our latest story on twitter!"/>
    <n v="4000"/>
    <n v="689"/>
    <n v="488"/>
    <n v="40000"/>
    <n v="39569"/>
    <n v="44"/>
    <s v="#FutureOfDriving"/>
    <s v="CybertruckLaunch"/>
    <n v="29.208749999999998"/>
  </r>
  <r>
    <s v="P115"/>
    <x v="0"/>
    <d v="2025-05-11T00:00:00"/>
    <s v="Image"/>
    <s v="Check out our latest image on twitter!"/>
    <n v="2493"/>
    <n v="97"/>
    <n v="44"/>
    <n v="42381"/>
    <n v="41991"/>
    <n v="242"/>
    <s v="#TeslaCoInnovation"/>
    <s v="SustainabilityDrive"/>
    <n v="27.567778013732568"/>
  </r>
  <r>
    <s v="P115"/>
    <x v="0"/>
    <d v="2025-05-11T00:00:00"/>
    <s v="Image"/>
    <s v="Check out our latest image on twitter!"/>
    <n v="2493"/>
    <n v="97"/>
    <n v="44"/>
    <n v="42381"/>
    <n v="41991"/>
    <n v="242"/>
    <s v="#AnytimeIsTeslaTime"/>
    <s v="SustainabilityDrive"/>
    <n v="27.567778013732568"/>
  </r>
  <r>
    <s v="P116"/>
    <x v="1"/>
    <d v="2025-03-18T00:00:00"/>
    <s v="Reel"/>
    <s v="Check out our latest reel on youtube!"/>
    <n v="3704"/>
    <n v="186"/>
    <n v="458"/>
    <n v="25928"/>
    <n v="25081"/>
    <n v="131"/>
    <s v="#TeslaCoInnovation"/>
    <s v="Not available"/>
    <n v="45.061323665535326"/>
  </r>
  <r>
    <s v="P117"/>
    <x v="0"/>
    <d v="2024-11-04T00:00:00"/>
    <s v="Image"/>
    <s v="Check out our latest image on twitter!"/>
    <n v="1606"/>
    <n v="451"/>
    <n v="405"/>
    <n v="20878"/>
    <n v="20190"/>
    <n v="219"/>
    <s v="#EVRevolution"/>
    <s v="SustainabilityDrive"/>
    <n v="55.960820001915891"/>
  </r>
  <r>
    <s v="P118"/>
    <x v="3"/>
    <d v="2024-11-04T00:00:00"/>
    <s v="Image"/>
    <s v="Check out our latest image on facebook!"/>
    <n v="4551"/>
    <n v="714"/>
    <n v="207"/>
    <n v="68265"/>
    <n v="67754"/>
    <n v="57"/>
    <s v="#FutureOfDriving"/>
    <s v="FSDUpdate"/>
    <n v="17.114919797846628"/>
  </r>
  <r>
    <s v="P119"/>
    <x v="2"/>
    <d v="2025-02-07T00:00:00"/>
    <s v="Reel"/>
    <s v="Check out our latest reel on instagram!"/>
    <n v="1970"/>
    <n v="675"/>
    <n v="478"/>
    <n v="9850"/>
    <n v="8924"/>
    <n v="117"/>
    <s v="#FutureOfDriving"/>
    <s v="Not available"/>
    <n v="118.61421319796955"/>
  </r>
  <r>
    <s v="P120"/>
    <x v="3"/>
    <d v="2024-10-21T00:00:00"/>
    <s v="Story"/>
    <s v="Check out our latest story on facebook!"/>
    <n v="780"/>
    <n v="928"/>
    <n v="301"/>
    <n v="8580"/>
    <n v="8081"/>
    <n v="91"/>
    <s v="#EVRevolution"/>
    <s v="FSDUpdate"/>
    <n v="136.17132867132867"/>
  </r>
  <r>
    <s v="P121"/>
    <x v="2"/>
    <d v="2024-07-29T00:00:00"/>
    <s v="Story"/>
    <s v="Check out our latest story on instagram!"/>
    <n v="498"/>
    <n v="701"/>
    <n v="412"/>
    <n v="4980"/>
    <n v="4185"/>
    <n v="185"/>
    <s v="#FutureOfDriving"/>
    <s v="Not available"/>
    <n v="234.60843373493975"/>
  </r>
  <r>
    <s v="P122"/>
    <x v="2"/>
    <d v="2024-10-02T00:00:00"/>
    <s v="Text"/>
    <s v="Check out our latest text on instagram!"/>
    <n v="3432"/>
    <n v="869"/>
    <n v="123"/>
    <n v="54912"/>
    <n v="53916"/>
    <n v="264"/>
    <s v="#EVRevolution"/>
    <s v="ModelYCampaign"/>
    <n v="21.276770104895103"/>
  </r>
  <r>
    <s v="P123"/>
    <x v="2"/>
    <d v="2024-06-14T00:00:00"/>
    <s v="Story"/>
    <s v="Check out our latest story on instagram!"/>
    <n v="4363"/>
    <n v="649"/>
    <n v="140"/>
    <n v="21815"/>
    <n v="21481"/>
    <n v="157"/>
    <s v="#EVRevolution"/>
    <s v="CybertruckLaunch"/>
    <n v="53.55718542287417"/>
  </r>
  <r>
    <s v="P124"/>
    <x v="1"/>
    <d v="2025-04-06T00:00:00"/>
    <s v="Carousel"/>
    <s v="Check out our latest carousel on youtube!"/>
    <n v="736"/>
    <n v="771"/>
    <n v="225"/>
    <n v="5152"/>
    <n v="4706"/>
    <n v="19"/>
    <s v="#EVRevolution"/>
    <s v="CybertruckLaunch"/>
    <n v="226.7760093167702"/>
  </r>
  <r>
    <s v="P125"/>
    <x v="0"/>
    <d v="2024-09-08T00:00:00"/>
    <s v="Carousel"/>
    <s v="Check out our latest carousel on twitter!"/>
    <n v="3811"/>
    <n v="866"/>
    <n v="216"/>
    <n v="34299"/>
    <n v="34088"/>
    <n v="233"/>
    <s v="#TeslaCoInnovation"/>
    <s v="SustainabilityDrive"/>
    <n v="34.063675325811246"/>
  </r>
  <r>
    <s v="P126"/>
    <x v="2"/>
    <d v="2025-03-28T00:00:00"/>
    <s v="Carousel"/>
    <s v="Check out our latest carousel on instagram!"/>
    <n v="4158"/>
    <n v="167"/>
    <n v="241"/>
    <n v="45738"/>
    <n v="45183"/>
    <n v="142"/>
    <s v="#FutureOfDriving"/>
    <s v="Not available"/>
    <n v="25.544405089859634"/>
  </r>
  <r>
    <s v="P127"/>
    <x v="3"/>
    <d v="2025-01-27T00:00:00"/>
    <s v="Reel"/>
    <s v="Check out our latest reel on facebook!"/>
    <n v="3452"/>
    <n v="652"/>
    <n v="442"/>
    <n v="65588"/>
    <n v="65049"/>
    <n v="158"/>
    <s v="#FutureOfDriving"/>
    <s v="FSDUpdate"/>
    <n v="17.813471976581081"/>
  </r>
  <r>
    <s v="P128"/>
    <x v="0"/>
    <d v="2025-01-10T00:00:00"/>
    <s v="Image"/>
    <s v="Check out our latest image on twitter!"/>
    <n v="3092"/>
    <n v="106"/>
    <n v="291"/>
    <n v="27828"/>
    <n v="27217"/>
    <n v="102"/>
    <s v="#FutureOfDriving"/>
    <s v="Not available"/>
    <n v="41.984691677447174"/>
  </r>
  <r>
    <s v="P129"/>
    <x v="0"/>
    <d v="2024-07-21T00:00:00"/>
    <s v="Text"/>
    <s v="Check out our latest text on twitter!"/>
    <n v="2147"/>
    <n v="430"/>
    <n v="393"/>
    <n v="17176"/>
    <n v="16483"/>
    <n v="170"/>
    <s v="#TeslaCoInnovation"/>
    <s v="Not available"/>
    <n v="68.022240335351654"/>
  </r>
  <r>
    <s v="P130"/>
    <x v="1"/>
    <d v="2024-09-29T00:00:00"/>
    <s v="Reel"/>
    <s v="Check out our latest reel on youtube!"/>
    <n v="2936"/>
    <n v="439"/>
    <n v="44"/>
    <n v="38168"/>
    <n v="37571"/>
    <n v="22"/>
    <s v="#EVRevolution"/>
    <s v="SustainabilityDrive"/>
    <n v="30.610721022846363"/>
  </r>
  <r>
    <s v="P131"/>
    <x v="2"/>
    <d v="2024-10-21T00:00:00"/>
    <s v="Reel"/>
    <s v="Check out our latest reel on instagram!"/>
    <n v="4840"/>
    <n v="658"/>
    <n v="211"/>
    <n v="43560"/>
    <n v="43225"/>
    <n v="57"/>
    <s v="#FutureOfDriving"/>
    <s v="FSDUpdate"/>
    <n v="26.821625344352618"/>
  </r>
  <r>
    <s v="P132"/>
    <x v="2"/>
    <d v="2025-03-04T00:00:00"/>
    <s v="Story"/>
    <s v="Check out our latest story on instagram!"/>
    <n v="1947"/>
    <n v="842"/>
    <n v="101"/>
    <n v="21417"/>
    <n v="20967"/>
    <n v="186"/>
    <s v="#FutureOfDriving"/>
    <s v="ModelYCampaign"/>
    <n v="54.552458327496851"/>
  </r>
  <r>
    <s v="P133"/>
    <x v="3"/>
    <d v="2025-02-06T00:00:00"/>
    <s v="Image"/>
    <s v="Check out our latest image on facebook!"/>
    <n v="2072"/>
    <n v="532"/>
    <n v="71"/>
    <n v="37296"/>
    <n v="36467"/>
    <n v="25"/>
    <s v="#TeslaCoInnovation"/>
    <s v="SustainabilityDrive"/>
    <n v="31.326415701415701"/>
  </r>
  <r>
    <s v="P134"/>
    <x v="0"/>
    <d v="2025-04-24T00:00:00"/>
    <s v="Reel"/>
    <s v="Check out our latest reel on twitter!"/>
    <n v="3731"/>
    <n v="115"/>
    <n v="135"/>
    <n v="55965"/>
    <n v="55436"/>
    <n v="103"/>
    <s v="#TeslaCoInnovation"/>
    <s v="CybertruckLaunch"/>
    <n v="20.876440632538195"/>
  </r>
  <r>
    <s v="P135"/>
    <x v="3"/>
    <d v="2024-11-28T00:00:00"/>
    <s v="Text"/>
    <s v="Check out our latest text on facebook!"/>
    <n v="4213"/>
    <n v="253"/>
    <n v="434"/>
    <n v="75834"/>
    <n v="75437"/>
    <n v="272"/>
    <s v="#FutureOfDriving"/>
    <s v="SustainabilityDrive"/>
    <n v="15.406677743492365"/>
  </r>
  <r>
    <s v="P136"/>
    <x v="2"/>
    <d v="2024-07-11T00:00:00"/>
    <s v="Text"/>
    <s v="Check out our latest text on instagram!"/>
    <n v="3134"/>
    <n v="888"/>
    <n v="444"/>
    <n v="21938"/>
    <n v="21337"/>
    <n v="130"/>
    <s v="#EVRevolution"/>
    <s v="SustainabilityDrive"/>
    <n v="53.256905825508248"/>
  </r>
  <r>
    <s v="P137"/>
    <x v="3"/>
    <d v="2024-07-31T00:00:00"/>
    <s v="Video"/>
    <s v="Check out our latest video on facebook!"/>
    <n v="3008"/>
    <n v="94"/>
    <n v="37"/>
    <n v="15040"/>
    <n v="14639"/>
    <n v="277"/>
    <s v="#FutureOfDriving"/>
    <s v="Not available"/>
    <n v="77.682845744680847"/>
  </r>
  <r>
    <s v="P138"/>
    <x v="0"/>
    <d v="2025-03-29T00:00:00"/>
    <s v="Image"/>
    <s v="Check out our latest image on twitter!"/>
    <n v="305"/>
    <n v="187"/>
    <n v="243"/>
    <n v="4575"/>
    <n v="3704"/>
    <n v="234"/>
    <s v="#FutureOfDriving"/>
    <s v="FSDUpdate"/>
    <n v="255.37704918032787"/>
  </r>
  <r>
    <s v="P139"/>
    <x v="1"/>
    <d v="2024-10-29T00:00:00"/>
    <s v="Text"/>
    <s v="Check out our latest text on youtube!"/>
    <n v="2746"/>
    <n v="156"/>
    <n v="203"/>
    <n v="32952"/>
    <n v="32147"/>
    <n v="147"/>
    <s v="#EVRevolution"/>
    <s v="CybertruckLaunch"/>
    <n v="35.456117989803353"/>
  </r>
  <r>
    <s v="P140"/>
    <x v="3"/>
    <d v="2024-07-15T00:00:00"/>
    <s v="Image"/>
    <s v="Check out our latest image on facebook!"/>
    <n v="2291"/>
    <n v="78"/>
    <n v="485"/>
    <n v="18328"/>
    <n v="18101"/>
    <n v="10"/>
    <s v="#EVRevolution"/>
    <s v="ModelYCampaign"/>
    <n v="63.746726320384113"/>
  </r>
  <r>
    <s v="P140"/>
    <x v="3"/>
    <d v="2024-07-15T00:00:00"/>
    <s v="Image"/>
    <s v="Check out our latest image on facebook!"/>
    <n v="2291"/>
    <n v="78"/>
    <n v="485"/>
    <n v="18328"/>
    <n v="18101"/>
    <n v="10"/>
    <s v="#SmoothLikeNitroTesla"/>
    <s v="ModelYCampaign"/>
    <n v="63.746726320384113"/>
  </r>
  <r>
    <s v="P141"/>
    <x v="0"/>
    <d v="2024-08-31T00:00:00"/>
    <s v="Image"/>
    <s v="Check out our latest image on twitter!"/>
    <n v="3170"/>
    <n v="857"/>
    <n v="379"/>
    <n v="19020"/>
    <n v="18559"/>
    <n v="240"/>
    <s v="#FutureOfDriving"/>
    <s v="Not available"/>
    <n v="61.427444794952685"/>
  </r>
  <r>
    <s v="P142"/>
    <x v="1"/>
    <d v="2025-03-25T00:00:00"/>
    <s v="Story"/>
    <s v="Check out our latest story on youtube!"/>
    <n v="2070"/>
    <n v="275"/>
    <n v="386"/>
    <n v="39330"/>
    <n v="38627"/>
    <n v="114"/>
    <s v="#FutureOfDriving"/>
    <s v="SustainabilityDrive"/>
    <n v="29.706331045003814"/>
  </r>
  <r>
    <s v="P143"/>
    <x v="1"/>
    <d v="2024-10-02T00:00:00"/>
    <s v="Carousel"/>
    <s v="Check out our latest carousel on youtube!"/>
    <n v="80"/>
    <n v="362"/>
    <n v="80"/>
    <n v="1040"/>
    <n v="349"/>
    <n v="117"/>
    <s v="#TeslaCoInnovation"/>
    <s v="FSDUpdate"/>
    <n v="1123.4134615384614"/>
  </r>
  <r>
    <s v="P144"/>
    <x v="1"/>
    <d v="2024-10-28T00:00:00"/>
    <s v="Story"/>
    <s v="Check out our latest story on youtube!"/>
    <n v="4929"/>
    <n v="749"/>
    <n v="452"/>
    <n v="93651"/>
    <n v="92810"/>
    <n v="66"/>
    <s v="#EVRevolution"/>
    <s v="SustainabilityDrive"/>
    <n v="12.475574206361918"/>
  </r>
  <r>
    <s v="P145"/>
    <x v="2"/>
    <d v="2024-08-12T00:00:00"/>
    <s v="Carousel"/>
    <s v="Check out our latest carousel on instagram!"/>
    <n v="1878"/>
    <n v="62"/>
    <n v="179"/>
    <n v="37560"/>
    <n v="36874"/>
    <n v="142"/>
    <s v="#TeslaCoInnovation"/>
    <s v="SustainabilityDrive"/>
    <n v="31.106230031948883"/>
  </r>
  <r>
    <s v="P146"/>
    <x v="1"/>
    <d v="2024-06-05T00:00:00"/>
    <s v="Reel"/>
    <s v="Check out our latest reel on youtube!"/>
    <n v="3065"/>
    <n v="772"/>
    <n v="142"/>
    <n v="18390"/>
    <n v="17875"/>
    <n v="200"/>
    <s v="#EVRevolution"/>
    <s v="Not available"/>
    <n v="63.531810766721044"/>
  </r>
  <r>
    <s v="P146"/>
    <x v="1"/>
    <d v="2024-06-05T00:00:00"/>
    <s v="Reel"/>
    <s v="Check out our latest reel on youtube!"/>
    <n v="3065"/>
    <n v="772"/>
    <n v="142"/>
    <n v="18390"/>
    <n v="17875"/>
    <n v="200"/>
    <s v="#AnytimeIsTeslaTime"/>
    <s v="Not available"/>
    <n v="63.531810766721044"/>
  </r>
  <r>
    <s v="P147"/>
    <x v="2"/>
    <d v="2024-10-21T00:00:00"/>
    <s v="Reel"/>
    <s v="Check out our latest reel on instagram!"/>
    <n v="3256"/>
    <n v="459"/>
    <n v="266"/>
    <n v="26048"/>
    <n v="25529"/>
    <n v="143"/>
    <s v="#TeslaCoInnovation"/>
    <s v="ModelYCampaign"/>
    <n v="44.853731572481571"/>
  </r>
  <r>
    <s v="P148"/>
    <x v="2"/>
    <d v="2025-04-15T00:00:00"/>
    <s v="Video"/>
    <s v="Check out our latest video on instagram!"/>
    <n v="4133"/>
    <n v="466"/>
    <n v="327"/>
    <n v="24798"/>
    <n v="24620"/>
    <n v="176"/>
    <s v="#EVRevolution"/>
    <s v="SustainabilityDrive"/>
    <n v="47.114686668279703"/>
  </r>
  <r>
    <s v="P149"/>
    <x v="0"/>
    <d v="2024-06-16T00:00:00"/>
    <s v="Video"/>
    <s v="Check out our latest video on twitter!"/>
    <n v="1702"/>
    <n v="750"/>
    <n v="179"/>
    <n v="34040"/>
    <n v="33174"/>
    <n v="76"/>
    <s v="#EVRevolution"/>
    <s v="CybertruckLaunch"/>
    <n v="34.322855464159815"/>
  </r>
  <r>
    <s v="P150"/>
    <x v="1"/>
    <d v="2024-08-22T00:00:00"/>
    <s v="Carousel"/>
    <s v="Check out our latest carousel on youtube!"/>
    <n v="4295"/>
    <n v="853"/>
    <n v="325"/>
    <n v="85900"/>
    <n v="85788"/>
    <n v="290"/>
    <s v="#TeslaCoInnovation"/>
    <s v="SustainabilityDrive"/>
    <n v="13.60128055878929"/>
  </r>
  <r>
    <s v="P151"/>
    <x v="2"/>
    <d v="2024-07-26T00:00:00"/>
    <s v="Image"/>
    <s v="Check out our latest image on instagram!"/>
    <n v="3559"/>
    <n v="59"/>
    <n v="289"/>
    <n v="35590"/>
    <n v="35105"/>
    <n v="122"/>
    <s v="#EVRevolution"/>
    <s v="CybertruckLaunch"/>
    <n v="32.828041584714811"/>
  </r>
  <r>
    <s v="P152"/>
    <x v="3"/>
    <d v="2025-04-22T00:00:00"/>
    <s v="Image"/>
    <s v="Check out our latest image on facebook!"/>
    <n v="4804"/>
    <n v="550"/>
    <n v="270"/>
    <n v="28824"/>
    <n v="28370"/>
    <n v="47"/>
    <s v="#EVRevolution"/>
    <s v="SustainabilityDrive"/>
    <n v="40.53393005828476"/>
  </r>
  <r>
    <s v="P153"/>
    <x v="0"/>
    <d v="2025-01-01T00:00:00"/>
    <s v="Video"/>
    <s v="Check out our latest video on twitter!"/>
    <n v="754"/>
    <n v="197"/>
    <n v="257"/>
    <n v="6786"/>
    <n v="6221"/>
    <n v="212"/>
    <s v="#TeslaCoInnovation"/>
    <s v="FSDUpdate"/>
    <n v="172.17064544650751"/>
  </r>
  <r>
    <s v="P154"/>
    <x v="2"/>
    <d v="2024-10-09T00:00:00"/>
    <s v="Carousel"/>
    <s v="Check out our latest carousel on instagram!"/>
    <n v="985"/>
    <n v="932"/>
    <n v="287"/>
    <n v="6895"/>
    <n v="6757"/>
    <n v="64"/>
    <s v="#FutureOfDriving"/>
    <s v="SustainabilityDrive"/>
    <n v="169.44887599709935"/>
  </r>
  <r>
    <s v="P155"/>
    <x v="1"/>
    <d v="2024-12-21T00:00:00"/>
    <s v="Image"/>
    <s v="Check out our latest image on youtube!"/>
    <n v="2283"/>
    <n v="210"/>
    <n v="130"/>
    <n v="22830"/>
    <n v="22617"/>
    <n v="143"/>
    <s v="#FutureOfDriving"/>
    <s v="ModelYCampaign"/>
    <n v="51.176084099868596"/>
  </r>
  <r>
    <s v="P156"/>
    <x v="3"/>
    <d v="2024-10-22T00:00:00"/>
    <s v="Carousel"/>
    <s v="Check out our latest carousel on facebook!"/>
    <n v="3352"/>
    <n v="941"/>
    <n v="482"/>
    <n v="43576"/>
    <n v="43338"/>
    <n v="240"/>
    <s v="#FutureOfDriving"/>
    <s v="ModelYCampaign"/>
    <n v="26.81177712502295"/>
  </r>
  <r>
    <s v="P157"/>
    <x v="1"/>
    <d v="2024-07-23T00:00:00"/>
    <s v="Story"/>
    <s v="Check out our latest story on youtube!"/>
    <n v="4775"/>
    <n v="173"/>
    <n v="206"/>
    <n v="47750"/>
    <n v="47544"/>
    <n v="187"/>
    <s v="#FutureOfDriving"/>
    <s v="ModelYCampaign"/>
    <n v="24.468062827225133"/>
  </r>
  <r>
    <s v="P158"/>
    <x v="2"/>
    <d v="2024-08-11T00:00:00"/>
    <s v="Story"/>
    <s v="Check out our latest story on instagram!"/>
    <n v="1762"/>
    <n v="405"/>
    <n v="423"/>
    <n v="22906"/>
    <n v="21925"/>
    <n v="25"/>
    <s v="#TeslaCoInnovation"/>
    <s v="CybertruckLaunch"/>
    <n v="51.006286562472717"/>
  </r>
  <r>
    <s v="P159"/>
    <x v="3"/>
    <d v="2024-11-25T00:00:00"/>
    <s v="Story"/>
    <s v="Check out our latest story on facebook!"/>
    <n v="2120"/>
    <n v="158"/>
    <n v="488"/>
    <n v="12720"/>
    <n v="12085"/>
    <n v="17"/>
    <s v="#FutureOfDriving"/>
    <s v="ModelYCampaign"/>
    <n v="91.851415094339629"/>
  </r>
  <r>
    <s v="P160"/>
    <x v="0"/>
    <d v="2024-08-24T00:00:00"/>
    <s v="Video"/>
    <s v="Check out our latest video on twitter!"/>
    <n v="1082"/>
    <n v="209"/>
    <n v="484"/>
    <n v="19476"/>
    <n v="18654"/>
    <n v="20"/>
    <s v="#TeslaCoInnovation"/>
    <s v="Not available"/>
    <n v="59.989217498459645"/>
  </r>
  <r>
    <s v="P161"/>
    <x v="0"/>
    <d v="2025-02-19T00:00:00"/>
    <s v="Text"/>
    <s v="Check out our latest text on twitter!"/>
    <n v="4671"/>
    <n v="876"/>
    <n v="366"/>
    <n v="51381"/>
    <n v="50565"/>
    <n v="245"/>
    <s v="#TeslaCoInnovation"/>
    <s v="SustainabilityDrive"/>
    <n v="22.738950195597596"/>
  </r>
  <r>
    <s v="P162"/>
    <x v="3"/>
    <d v="2025-04-01T00:00:00"/>
    <s v="Story"/>
    <s v="Check out our latest story on facebook!"/>
    <n v="3430"/>
    <n v="566"/>
    <n v="164"/>
    <n v="48020"/>
    <n v="47305"/>
    <n v="120"/>
    <s v="#FutureOfDriving"/>
    <s v="Not available"/>
    <n v="24.3304872969596"/>
  </r>
  <r>
    <s v="P163"/>
    <x v="2"/>
    <d v="2025-04-08T00:00:00"/>
    <s v="Image"/>
    <s v="Check out our latest image on instagram!"/>
    <n v="4501"/>
    <n v="375"/>
    <n v="323"/>
    <n v="22505"/>
    <n v="21836"/>
    <n v="132"/>
    <s v="#TeslaCoInnovation"/>
    <s v="ModelYCampaign"/>
    <n v="51.91512997111753"/>
  </r>
  <r>
    <s v="P164"/>
    <x v="1"/>
    <d v="2025-02-27T00:00:00"/>
    <s v="Text"/>
    <s v="Check out our latest text on youtube!"/>
    <n v="4934"/>
    <n v="971"/>
    <n v="156"/>
    <n v="39472"/>
    <n v="39025"/>
    <n v="169"/>
    <s v="#TeslaCoInnovation"/>
    <s v="SustainabilityDrive"/>
    <n v="29.599462910417511"/>
  </r>
  <r>
    <s v="P164"/>
    <x v="1"/>
    <d v="2025-02-27T00:00:00"/>
    <s v="Text"/>
    <s v="Check out our latest text on youtube!"/>
    <n v="4934"/>
    <n v="971"/>
    <n v="156"/>
    <n v="39472"/>
    <n v="39025"/>
    <n v="169"/>
    <s v="#AnytimeIsTeslaTime"/>
    <s v="SustainabilityDrive"/>
    <n v="29.599462910417511"/>
  </r>
  <r>
    <s v="P165"/>
    <x v="0"/>
    <d v="2024-12-11T00:00:00"/>
    <s v="Text"/>
    <s v="Check out our latest text on twitter!"/>
    <n v="3239"/>
    <n v="43"/>
    <n v="211"/>
    <n v="22673"/>
    <n v="22171"/>
    <n v="230"/>
    <s v="#TeslaCoInnovation"/>
    <s v="ModelYCampaign"/>
    <n v="51.530454725885413"/>
  </r>
  <r>
    <s v="P166"/>
    <x v="0"/>
    <d v="2025-02-16T00:00:00"/>
    <s v="Reel"/>
    <s v="Check out our latest reel on twitter!"/>
    <n v="1076"/>
    <n v="313"/>
    <n v="306"/>
    <n v="11836"/>
    <n v="11596"/>
    <n v="104"/>
    <s v="#FutureOfDriving"/>
    <s v="CybertruckLaunch"/>
    <n v="98.711557958769859"/>
  </r>
  <r>
    <s v="P167"/>
    <x v="2"/>
    <d v="2024-11-28T00:00:00"/>
    <s v="Text"/>
    <s v="Check out our latest text on instagram!"/>
    <n v="4771"/>
    <n v="818"/>
    <n v="56"/>
    <n v="57252"/>
    <n v="56378"/>
    <n v="150"/>
    <s v="#FutureOfDriving"/>
    <s v="Not available"/>
    <n v="20.407147348564241"/>
  </r>
  <r>
    <s v="P168"/>
    <x v="3"/>
    <d v="2024-11-12T00:00:00"/>
    <s v="Text"/>
    <s v="Check out our latest text on facebook!"/>
    <n v="2418"/>
    <n v="754"/>
    <n v="54"/>
    <n v="43524"/>
    <n v="42743"/>
    <n v="182"/>
    <s v="#EVRevolution"/>
    <s v="CybertruckLaunch"/>
    <n v="26.843810311552247"/>
  </r>
  <r>
    <s v="P169"/>
    <x v="1"/>
    <d v="2024-12-03T00:00:00"/>
    <s v="Video"/>
    <s v="Check out our latest video on youtube!"/>
    <n v="3809"/>
    <n v="273"/>
    <n v="200"/>
    <n v="34281"/>
    <n v="33534"/>
    <n v="83"/>
    <s v="#EVRevolution"/>
    <s v="CybertruckLaunch"/>
    <n v="34.081561214667019"/>
  </r>
  <r>
    <s v="P170"/>
    <x v="0"/>
    <d v="2025-04-28T00:00:00"/>
    <s v="Text"/>
    <s v="Check out our latest text on twitter!"/>
    <n v="3577"/>
    <n v="596"/>
    <n v="493"/>
    <n v="67963"/>
    <n v="67839"/>
    <n v="53"/>
    <s v="#TeslaCoInnovation"/>
    <s v="FSDUpdate"/>
    <n v="17.190971558053647"/>
  </r>
  <r>
    <s v="P171"/>
    <x v="1"/>
    <d v="2024-12-31T00:00:00"/>
    <s v="Video"/>
    <s v="Check out our latest video on youtube!"/>
    <n v="1018"/>
    <n v="447"/>
    <n v="332"/>
    <n v="18324"/>
    <n v="18164"/>
    <n v="38"/>
    <s v="#FutureOfDriving"/>
    <s v="ModelYCampaign"/>
    <n v="63.760641781270465"/>
  </r>
  <r>
    <s v="P172"/>
    <x v="3"/>
    <d v="2024-08-14T00:00:00"/>
    <s v="Carousel"/>
    <s v="Check out our latest carousel on facebook!"/>
    <n v="3073"/>
    <n v="553"/>
    <n v="174"/>
    <n v="52241"/>
    <n v="51605"/>
    <n v="246"/>
    <s v="#EVRevolution"/>
    <s v="FSDUpdate"/>
    <n v="22.364617828908329"/>
  </r>
  <r>
    <s v="P173"/>
    <x v="0"/>
    <d v="2024-12-05T00:00:00"/>
    <s v="Video"/>
    <s v="Check out our latest video on twitter!"/>
    <n v="1330"/>
    <n v="925"/>
    <n v="35"/>
    <n v="15960"/>
    <n v="15379"/>
    <n v="229"/>
    <s v="#FutureOfDriving"/>
    <s v="FSDUpdate"/>
    <n v="73.204887218045116"/>
  </r>
  <r>
    <s v="P174"/>
    <x v="3"/>
    <d v="2024-06-22T00:00:00"/>
    <s v="Text"/>
    <s v="Check out our latest text on facebook!"/>
    <n v="3828"/>
    <n v="148"/>
    <n v="253"/>
    <n v="30624"/>
    <n v="30229"/>
    <n v="235"/>
    <s v="#EVRevolution"/>
    <s v="Not available"/>
    <n v="38.151449843260188"/>
  </r>
  <r>
    <s v="P175"/>
    <x v="2"/>
    <d v="2025-01-17T00:00:00"/>
    <s v="Reel"/>
    <s v="Check out our latest reel on instagram!"/>
    <n v="142"/>
    <n v="784"/>
    <n v="183"/>
    <n v="1704"/>
    <n v="995"/>
    <n v="154"/>
    <s v="#FutureOfDriving"/>
    <s v="SustainabilityDrive"/>
    <n v="685.65140845070425"/>
  </r>
  <r>
    <s v="P176"/>
    <x v="3"/>
    <d v="2024-06-20T00:00:00"/>
    <s v="Video"/>
    <s v="Check out our latest video on facebook!"/>
    <n v="3798"/>
    <n v="31"/>
    <n v="279"/>
    <n v="75960"/>
    <n v="75813"/>
    <n v="266"/>
    <s v="#TeslaCoInnovation"/>
    <s v="CybertruckLaunch"/>
    <n v="15.381121642969985"/>
  </r>
  <r>
    <s v="P177"/>
    <x v="2"/>
    <d v="2024-07-10T00:00:00"/>
    <s v="Carousel"/>
    <s v="Check out our latest carousel on instagram!"/>
    <n v="3099"/>
    <n v="694"/>
    <n v="171"/>
    <n v="43386"/>
    <n v="42921"/>
    <n v="52"/>
    <s v="#TeslaCoInnovation"/>
    <s v="FSDUpdate"/>
    <n v="26.929193749135667"/>
  </r>
  <r>
    <s v="P178"/>
    <x v="2"/>
    <d v="2024-11-07T00:00:00"/>
    <s v="Video"/>
    <s v="Check out our latest video on instagram!"/>
    <n v="129"/>
    <n v="643"/>
    <n v="136"/>
    <n v="1290"/>
    <n v="839"/>
    <n v="238"/>
    <s v="#TeslaCoInnovation"/>
    <s v="SustainabilityDrive"/>
    <n v="905.69767441860461"/>
  </r>
  <r>
    <s v="P179"/>
    <x v="3"/>
    <d v="2024-07-15T00:00:00"/>
    <s v="Carousel"/>
    <s v="Check out our latest carousel on facebook!"/>
    <n v="3796"/>
    <n v="667"/>
    <n v="395"/>
    <n v="64532"/>
    <n v="63550"/>
    <n v="292"/>
    <s v="#TeslaCoInnovation"/>
    <s v="Not available"/>
    <n v="18.104971177090437"/>
  </r>
  <r>
    <s v="P180"/>
    <x v="1"/>
    <d v="2024-12-03T00:00:00"/>
    <s v="Text"/>
    <s v="Check out our latest text on youtube!"/>
    <n v="3711"/>
    <n v="352"/>
    <n v="290"/>
    <n v="48243"/>
    <n v="47579"/>
    <n v="11"/>
    <s v="#TeslaCoInnovation"/>
    <s v="CybertruckLaunch"/>
    <n v="24.21802126733412"/>
  </r>
  <r>
    <s v="P181"/>
    <x v="1"/>
    <d v="2025-03-21T00:00:00"/>
    <s v="Image"/>
    <s v="Check out our latest image on youtube!"/>
    <n v="606"/>
    <n v="789"/>
    <n v="470"/>
    <n v="7878"/>
    <n v="7389"/>
    <n v="239"/>
    <s v="#EVRevolution"/>
    <s v="FSDUpdate"/>
    <n v="148.30540746382331"/>
  </r>
  <r>
    <s v="P182"/>
    <x v="3"/>
    <d v="2024-07-31T00:00:00"/>
    <s v="Image"/>
    <s v="Check out our latest image on facebook!"/>
    <n v="4689"/>
    <n v="134"/>
    <n v="403"/>
    <n v="51579"/>
    <n v="50924"/>
    <n v="173"/>
    <s v="#TeslaCoInnovation"/>
    <s v="SustainabilityDrive"/>
    <n v="22.65166055953004"/>
  </r>
  <r>
    <s v="P183"/>
    <x v="2"/>
    <d v="2024-12-17T00:00:00"/>
    <s v="Story"/>
    <s v="Check out our latest story on instagram!"/>
    <n v="360"/>
    <n v="590"/>
    <n v="393"/>
    <n v="4680"/>
    <n v="4322"/>
    <n v="208"/>
    <s v="#FutureOfDriving"/>
    <s v="ModelYCampaign"/>
    <n v="249.64743589743588"/>
  </r>
  <r>
    <s v="P184"/>
    <x v="0"/>
    <d v="2024-07-28T00:00:00"/>
    <s v="Image"/>
    <s v="Check out our latest image on twitter!"/>
    <n v="3215"/>
    <n v="960"/>
    <n v="202"/>
    <n v="32150"/>
    <n v="31404"/>
    <n v="251"/>
    <s v="#EVRevolution"/>
    <s v="CybertruckLaunch"/>
    <n v="36.34059097978227"/>
  </r>
  <r>
    <s v="P185"/>
    <x v="2"/>
    <d v="2025-01-11T00:00:00"/>
    <s v="Carousel"/>
    <s v="Check out our latest carousel on instagram!"/>
    <n v="4523"/>
    <n v="61"/>
    <n v="157"/>
    <n v="49753"/>
    <n v="49329"/>
    <n v="71"/>
    <s v="#EVRevolution"/>
    <s v="Not available"/>
    <n v="23.483006049886438"/>
  </r>
  <r>
    <s v="P186"/>
    <x v="3"/>
    <d v="2024-08-24T00:00:00"/>
    <s v="Carousel"/>
    <s v="Check out our latest carousel on facebook!"/>
    <n v="4292"/>
    <n v="51"/>
    <n v="392"/>
    <n v="55796"/>
    <n v="54826"/>
    <n v="264"/>
    <s v="#EVRevolution"/>
    <s v="FSDUpdate"/>
    <n v="20.93967309484551"/>
  </r>
  <r>
    <s v="P187"/>
    <x v="0"/>
    <d v="2024-12-22T00:00:00"/>
    <s v="Reel"/>
    <s v="Check out our latest reel on twitter!"/>
    <n v="1644"/>
    <n v="546"/>
    <n v="150"/>
    <n v="27948"/>
    <n v="27184"/>
    <n v="300"/>
    <s v="#EVRevolution"/>
    <s v="FSDUpdate"/>
    <n v="41.804422498926577"/>
  </r>
  <r>
    <s v="P188"/>
    <x v="1"/>
    <d v="2024-06-06T00:00:00"/>
    <s v="Reel"/>
    <s v="Check out our latest reel on youtube!"/>
    <n v="2728"/>
    <n v="533"/>
    <n v="215"/>
    <n v="40920"/>
    <n v="40816"/>
    <n v="137"/>
    <s v="#FutureOfDriving"/>
    <s v="ModelYCampaign"/>
    <n v="28.552052785923753"/>
  </r>
  <r>
    <s v="P189"/>
    <x v="3"/>
    <d v="2025-03-24T00:00:00"/>
    <s v="Reel"/>
    <s v="Check out our latest reel on facebook!"/>
    <n v="3360"/>
    <n v="525"/>
    <n v="500"/>
    <n v="60480"/>
    <n v="59610"/>
    <n v="192"/>
    <s v="#TeslaCoInnovation"/>
    <s v="CybertruckLaunch"/>
    <n v="19.317956349206348"/>
  </r>
  <r>
    <s v="P190"/>
    <x v="1"/>
    <d v="2024-10-04T00:00:00"/>
    <s v="Text"/>
    <s v="Check out our latest text on youtube!"/>
    <n v="1963"/>
    <n v="213"/>
    <n v="19"/>
    <n v="39260"/>
    <n v="38771"/>
    <n v="145"/>
    <s v="#FutureOfDriving"/>
    <s v="Not available"/>
    <n v="29.759296994396333"/>
  </r>
  <r>
    <s v="P191"/>
    <x v="1"/>
    <d v="2024-12-03T00:00:00"/>
    <s v="Story"/>
    <s v="Check out our latest story on youtube!"/>
    <n v="4285"/>
    <n v="886"/>
    <n v="376"/>
    <n v="55705"/>
    <n v="55556"/>
    <n v="51"/>
    <s v="#FutureOfDriving"/>
    <s v="FSDUpdate"/>
    <n v="20.973880262094966"/>
  </r>
  <r>
    <s v="P192"/>
    <x v="2"/>
    <d v="2024-11-29T00:00:00"/>
    <s v="Video"/>
    <s v="Check out our latest video on instagram!"/>
    <n v="1176"/>
    <n v="464"/>
    <n v="394"/>
    <n v="14112"/>
    <n v="13588"/>
    <n v="272"/>
    <s v="#EVRevolution"/>
    <s v="Not available"/>
    <n v="82.791241496598644"/>
  </r>
  <r>
    <s v="P193"/>
    <x v="0"/>
    <d v="2024-09-11T00:00:00"/>
    <s v="Image"/>
    <s v="Check out our latest image on twitter!"/>
    <n v="4858"/>
    <n v="317"/>
    <n v="129"/>
    <n v="53438"/>
    <n v="52687"/>
    <n v="223"/>
    <s v="#EVRevolution"/>
    <s v="FSDUpdate"/>
    <n v="21.863655076911559"/>
  </r>
  <r>
    <s v="P194"/>
    <x v="1"/>
    <d v="2024-10-02T00:00:00"/>
    <s v="Story"/>
    <s v="Check out our latest story on youtube!"/>
    <n v="4350"/>
    <n v="771"/>
    <n v="7"/>
    <n v="60900"/>
    <n v="60592"/>
    <n v="195"/>
    <s v="#EVRevolution"/>
    <s v="CybertruckLaunch"/>
    <n v="19.184729064039409"/>
  </r>
  <r>
    <s v="P195"/>
    <x v="2"/>
    <d v="2024-08-15T00:00:00"/>
    <s v="Carousel"/>
    <s v="Check out our latest carousel on instagram!"/>
    <n v="914"/>
    <n v="464"/>
    <n v="246"/>
    <n v="11882"/>
    <n v="11500"/>
    <n v="282"/>
    <s v="#FutureOfDriving"/>
    <s v="SustainabilityDrive"/>
    <n v="98.32940582393536"/>
  </r>
  <r>
    <s v="P195"/>
    <x v="2"/>
    <d v="2024-08-15T00:00:00"/>
    <s v="Carousel"/>
    <s v="Check out our latest carousel on instagram!"/>
    <n v="914"/>
    <n v="464"/>
    <n v="246"/>
    <n v="11882"/>
    <n v="11500"/>
    <n v="282"/>
    <s v="#TeslaCoInnovation"/>
    <s v="SustainabilityDrive"/>
    <n v="98.32940582393536"/>
  </r>
  <r>
    <s v="P195"/>
    <x v="2"/>
    <d v="2024-08-15T00:00:00"/>
    <s v="Carousel"/>
    <s v="Check out our latest carousel on instagram!"/>
    <n v="914"/>
    <n v="464"/>
    <n v="246"/>
    <n v="11882"/>
    <n v="11500"/>
    <n v="282"/>
    <s v="#AnytimeIsTeslaTime"/>
    <s v="SustainabilityDrive"/>
    <n v="98.32940582393536"/>
  </r>
  <r>
    <s v="P196"/>
    <x v="2"/>
    <d v="2024-12-19T00:00:00"/>
    <s v="Text"/>
    <s v="Check out our latest text on instagram!"/>
    <n v="1813"/>
    <n v="623"/>
    <n v="72"/>
    <n v="19943"/>
    <n v="18959"/>
    <n v="85"/>
    <s v="#EVRevolution"/>
    <s v="FSDUpdate"/>
    <n v="58.584465727322872"/>
  </r>
  <r>
    <s v="P197"/>
    <x v="0"/>
    <d v="2024-10-22T00:00:00"/>
    <s v="Reel"/>
    <s v="Check out our latest reel on twitter!"/>
    <n v="4782"/>
    <n v="721"/>
    <n v="82"/>
    <n v="86076"/>
    <n v="85339"/>
    <n v="19"/>
    <s v="#EVRevolution"/>
    <s v="CybertruckLaunch"/>
    <n v="13.573469956782379"/>
  </r>
  <r>
    <s v="P198"/>
    <x v="0"/>
    <d v="2024-09-14T00:00:00"/>
    <s v="Image"/>
    <s v="Check out our latest image on twitter!"/>
    <n v="1048"/>
    <n v="374"/>
    <n v="450"/>
    <n v="9432"/>
    <n v="8882"/>
    <n v="158"/>
    <s v="#TeslaCoInnovation"/>
    <s v="FSDUpdate"/>
    <n v="123.8708651399491"/>
  </r>
  <r>
    <s v="P199"/>
    <x v="1"/>
    <d v="2024-11-30T00:00:00"/>
    <s v="Carousel"/>
    <s v="Check out our latest carousel on youtube!"/>
    <n v="2509"/>
    <n v="324"/>
    <n v="171"/>
    <n v="35126"/>
    <n v="34685"/>
    <n v="277"/>
    <s v="#TeslaCoInnovation"/>
    <s v="ModelYCampaign"/>
    <n v="33.261686500028468"/>
  </r>
  <r>
    <s v="P200"/>
    <x v="3"/>
    <d v="2025-04-07T00:00:00"/>
    <s v="Reel"/>
    <s v="Check out our latest reel on facebook!"/>
    <n v="3718"/>
    <n v="385"/>
    <n v="310"/>
    <n v="70642"/>
    <n v="69749"/>
    <n v="233"/>
    <s v="#TeslaCoInnovation"/>
    <s v="ModelYCampaign"/>
    <n v="16.539027773845589"/>
  </r>
  <r>
    <s v="P201"/>
    <x v="0"/>
    <d v="2025-01-15T00:00:00"/>
    <s v="Reel"/>
    <s v="Check out our latest reel on twitter!"/>
    <n v="802"/>
    <n v="262"/>
    <n v="244"/>
    <n v="14436"/>
    <n v="14280"/>
    <n v="49"/>
    <s v="#EVRevolution"/>
    <s v="CybertruckLaunch"/>
    <n v="80.933083956774723"/>
  </r>
  <r>
    <s v="P202"/>
    <x v="3"/>
    <d v="2024-06-02T00:00:00"/>
    <s v="Image"/>
    <s v="Check out our latest image on facebook!"/>
    <n v="1871"/>
    <n v="252"/>
    <n v="335"/>
    <n v="29936"/>
    <n v="29576"/>
    <n v="288"/>
    <s v="#EVRevolution"/>
    <s v="FSDUpdate"/>
    <n v="39.028260288615712"/>
  </r>
  <r>
    <s v="P203"/>
    <x v="2"/>
    <d v="2024-11-21T00:00:00"/>
    <s v="Carousel"/>
    <s v="Check out our latest carousel on instagram!"/>
    <n v="3773"/>
    <n v="299"/>
    <n v="38"/>
    <n v="71687"/>
    <n v="71447"/>
    <n v="286"/>
    <s v="#FutureOfDriving"/>
    <s v="CybertruckLaunch"/>
    <n v="16.297934074518391"/>
  </r>
  <r>
    <s v="P204"/>
    <x v="2"/>
    <d v="2025-01-01T00:00:00"/>
    <s v="Carousel"/>
    <s v="Check out our latest carousel on instagram!"/>
    <n v="2234"/>
    <n v="653"/>
    <n v="432"/>
    <n v="11170"/>
    <n v="10569"/>
    <n v="198"/>
    <s v="#FutureOfDriving"/>
    <s v="FSDUpdate"/>
    <n v="104.5971351835273"/>
  </r>
  <r>
    <s v="P205"/>
    <x v="0"/>
    <d v="2025-04-24T00:00:00"/>
    <s v="Video"/>
    <s v="Check out our latest video on twitter!"/>
    <n v="3820"/>
    <n v="697"/>
    <n v="268"/>
    <n v="45840"/>
    <n v="45631"/>
    <n v="171"/>
    <s v="#TeslaCoInnovation"/>
    <s v="SustainabilityDrive"/>
    <n v="25.487565445026178"/>
  </r>
  <r>
    <s v="P205"/>
    <x v="0"/>
    <d v="2025-04-24T00:00:00"/>
    <s v="Video"/>
    <s v="Check out our latest video on twitter!"/>
    <n v="3820"/>
    <n v="697"/>
    <n v="268"/>
    <n v="45840"/>
    <n v="45631"/>
    <n v="171"/>
    <s v="#SmoothLikeNitroTesla"/>
    <s v="SustainabilityDrive"/>
    <n v="25.487565445026178"/>
  </r>
  <r>
    <s v="P206"/>
    <x v="0"/>
    <d v="2024-06-24T00:00:00"/>
    <s v="Text"/>
    <s v="Check out our latest text on twitter!"/>
    <n v="941"/>
    <n v="121"/>
    <n v="458"/>
    <n v="14115"/>
    <n v="13838"/>
    <n v="87"/>
    <s v="#EVRevolution"/>
    <s v="CybertruckLaunch"/>
    <n v="82.773645058448466"/>
  </r>
  <r>
    <s v="P207"/>
    <x v="0"/>
    <d v="2024-12-29T00:00:00"/>
    <s v="Carousel"/>
    <s v="Check out our latest carousel on twitter!"/>
    <n v="4274"/>
    <n v="340"/>
    <n v="281"/>
    <n v="34192"/>
    <n v="33446"/>
    <n v="129"/>
    <s v="#TeslaCoInnovation"/>
    <s v="FSDUpdate"/>
    <n v="34.170273748245201"/>
  </r>
  <r>
    <s v="P207"/>
    <x v="0"/>
    <d v="2024-12-29T00:00:00"/>
    <s v="Carousel"/>
    <s v="Check out our latest carousel on twitter!"/>
    <n v="4274"/>
    <n v="340"/>
    <n v="281"/>
    <n v="34192"/>
    <n v="33446"/>
    <n v="129"/>
    <s v="#SmoothLikeNitroTesla"/>
    <s v="FSDUpdate"/>
    <n v="34.170273748245201"/>
  </r>
  <r>
    <s v="P208"/>
    <x v="1"/>
    <d v="2024-06-24T00:00:00"/>
    <s v="Video"/>
    <s v="Check out our latest video on youtube!"/>
    <n v="2949"/>
    <n v="476"/>
    <n v="403"/>
    <n v="44235"/>
    <n v="43705"/>
    <n v="135"/>
    <s v="#TeslaCoInnovation"/>
    <s v="ModelYCampaign"/>
    <n v="26.412343167175315"/>
  </r>
  <r>
    <s v="P209"/>
    <x v="0"/>
    <d v="2025-03-19T00:00:00"/>
    <s v="Video"/>
    <s v="Check out our latest video on twitter!"/>
    <n v="3160"/>
    <n v="204"/>
    <n v="297"/>
    <n v="44240"/>
    <n v="43666"/>
    <n v="49"/>
    <s v="#FutureOfDriving"/>
    <s v="SustainabilityDrive"/>
    <n v="26.409358047016276"/>
  </r>
  <r>
    <s v="P209"/>
    <x v="0"/>
    <d v="2025-03-19T00:00:00"/>
    <s v="Video"/>
    <s v="Check out our latest video on twitter!"/>
    <n v="3160"/>
    <n v="204"/>
    <n v="297"/>
    <n v="44240"/>
    <n v="43666"/>
    <n v="49"/>
    <s v="#AnytimeIsTeslaTime"/>
    <s v="SustainabilityDrive"/>
    <n v="26.409358047016276"/>
  </r>
  <r>
    <s v="P210"/>
    <x v="1"/>
    <d v="2025-02-19T00:00:00"/>
    <s v="Image"/>
    <s v="Check out our latest image on youtube!"/>
    <n v="257"/>
    <n v="966"/>
    <n v="398"/>
    <n v="3341"/>
    <n v="2753"/>
    <n v="287"/>
    <s v="#FutureOfDriving"/>
    <s v="CybertruckLaunch"/>
    <n v="349.7006884166417"/>
  </r>
  <r>
    <s v="P211"/>
    <x v="0"/>
    <d v="2024-07-18T00:00:00"/>
    <s v="Carousel"/>
    <s v="Check out our latest carousel on twitter!"/>
    <n v="2120"/>
    <n v="38"/>
    <n v="212"/>
    <n v="12720"/>
    <n v="12564"/>
    <n v="21"/>
    <s v="#FutureOfDriving"/>
    <s v="SustainabilityDrive"/>
    <n v="91.851415094339629"/>
  </r>
  <r>
    <s v="P212"/>
    <x v="1"/>
    <d v="2025-03-03T00:00:00"/>
    <s v="Video"/>
    <s v="Check out our latest video on youtube!"/>
    <n v="3874"/>
    <n v="884"/>
    <n v="19"/>
    <n v="38740"/>
    <n v="38552"/>
    <n v="219"/>
    <s v="#TeslaCoInnovation"/>
    <s v="ModelYCampaign"/>
    <n v="30.158750645327828"/>
  </r>
  <r>
    <s v="P213"/>
    <x v="3"/>
    <d v="2025-05-01T00:00:00"/>
    <s v="Carousel"/>
    <s v="Check out our latest carousel on facebook!"/>
    <n v="2696"/>
    <n v="628"/>
    <n v="443"/>
    <n v="45832"/>
    <n v="45632"/>
    <n v="248"/>
    <s v="#EVRevolution"/>
    <s v="SustainabilityDrive"/>
    <n v="25.492014313143656"/>
  </r>
  <r>
    <s v="P214"/>
    <x v="2"/>
    <d v="2024-12-23T00:00:00"/>
    <s v="Image"/>
    <s v="Check out our latest image on instagram!"/>
    <n v="521"/>
    <n v="746"/>
    <n v="315"/>
    <n v="4168"/>
    <n v="3399"/>
    <n v="282"/>
    <s v="#FutureOfDriving"/>
    <s v="ModelYCampaign"/>
    <n v="280.31429942418424"/>
  </r>
  <r>
    <s v="P215"/>
    <x v="3"/>
    <d v="2025-05-06T00:00:00"/>
    <s v="Image"/>
    <s v="Check out our latest image on facebook!"/>
    <n v="4872"/>
    <n v="925"/>
    <n v="176"/>
    <n v="82824"/>
    <n v="82543"/>
    <n v="89"/>
    <s v="#EVRevolution"/>
    <s v="ModelYCampaign"/>
    <n v="14.106418429440742"/>
  </r>
  <r>
    <s v="P216"/>
    <x v="1"/>
    <d v="2024-07-29T00:00:00"/>
    <s v="Story"/>
    <s v="Check out our latest story on youtube!"/>
    <n v="1509"/>
    <n v="88"/>
    <n v="163"/>
    <n v="30180"/>
    <n v="29689"/>
    <n v="119"/>
    <s v="#EVRevolution"/>
    <s v="ModelYCampaign"/>
    <n v="38.712723658051686"/>
  </r>
  <r>
    <s v="P217"/>
    <x v="3"/>
    <d v="2024-12-03T00:00:00"/>
    <s v="Image"/>
    <s v="Check out our latest image on facebook!"/>
    <n v="4606"/>
    <n v="931"/>
    <n v="230"/>
    <n v="92120"/>
    <n v="91440"/>
    <n v="56"/>
    <s v="#TeslaCoInnovation"/>
    <s v="Not available"/>
    <n v="12.682913590968303"/>
  </r>
  <r>
    <s v="P218"/>
    <x v="3"/>
    <d v="2024-06-11T00:00:00"/>
    <s v="Carousel"/>
    <s v="Check out our latest carousel on facebook!"/>
    <n v="1869"/>
    <n v="453"/>
    <n v="490"/>
    <n v="14952"/>
    <n v="14309"/>
    <n v="275"/>
    <s v="#TeslaCoInnovation"/>
    <s v="SustainabilityDrive"/>
    <n v="78.140048154093094"/>
  </r>
  <r>
    <s v="P219"/>
    <x v="0"/>
    <d v="2025-01-28T00:00:00"/>
    <s v="Reel"/>
    <s v="Check out our latest reel on twitter!"/>
    <n v="1188"/>
    <n v="470"/>
    <n v="174"/>
    <n v="7128"/>
    <n v="6145"/>
    <n v="270"/>
    <s v="#TeslaCoInnovation"/>
    <s v="SustainabilityDrive"/>
    <n v="163.90993265993265"/>
  </r>
  <r>
    <s v="P220"/>
    <x v="2"/>
    <d v="2024-06-02T00:00:00"/>
    <s v="Story"/>
    <s v="Check out our latest story on instagram!"/>
    <n v="84"/>
    <n v="897"/>
    <n v="85"/>
    <n v="588"/>
    <n v="8"/>
    <n v="12"/>
    <s v="#EVRevolution"/>
    <s v="Not available"/>
    <n v="1986.9897959183672"/>
  </r>
  <r>
    <s v="P221"/>
    <x v="3"/>
    <d v="2025-03-23T00:00:00"/>
    <s v="Video"/>
    <s v="Check out our latest video on facebook!"/>
    <n v="4453"/>
    <n v="111"/>
    <n v="420"/>
    <n v="31171"/>
    <n v="30565"/>
    <n v="23"/>
    <s v="#TeslaCoInnovation"/>
    <s v="Not available"/>
    <n v="37.481954380674345"/>
  </r>
  <r>
    <s v="P222"/>
    <x v="3"/>
    <d v="2024-10-08T00:00:00"/>
    <s v="Reel"/>
    <s v="Check out our latest reel on facebook!"/>
    <n v="1814"/>
    <n v="653"/>
    <n v="363"/>
    <n v="25396"/>
    <n v="25286"/>
    <n v="39"/>
    <s v="#FutureOfDriving"/>
    <s v="CybertruckLaunch"/>
    <n v="46.0052764214837"/>
  </r>
  <r>
    <s v="P222"/>
    <x v="3"/>
    <d v="2024-10-08T00:00:00"/>
    <s v="Reel"/>
    <s v="Check out our latest reel on facebook!"/>
    <n v="1814"/>
    <n v="653"/>
    <n v="363"/>
    <n v="25396"/>
    <n v="25286"/>
    <n v="39"/>
    <s v="#SmoothLikeNitroTesla"/>
    <s v="CybertruckLaunch"/>
    <n v="46.0052764214837"/>
  </r>
  <r>
    <s v="P223"/>
    <x v="0"/>
    <d v="2024-11-12T00:00:00"/>
    <s v="Image"/>
    <s v="Check out our latest image on twitter!"/>
    <n v="3338"/>
    <n v="277"/>
    <n v="118"/>
    <n v="60084"/>
    <n v="59842"/>
    <n v="252"/>
    <s v="#TeslaCoInnovation"/>
    <s v="Not available"/>
    <n v="19.445276612742163"/>
  </r>
  <r>
    <s v="P224"/>
    <x v="3"/>
    <d v="2025-05-13T00:00:00"/>
    <s v="Image"/>
    <s v="Check out our latest image on facebook!"/>
    <n v="602"/>
    <n v="594"/>
    <n v="156"/>
    <n v="4214"/>
    <n v="3363"/>
    <n v="164"/>
    <s v="#TeslaCoInnovation"/>
    <s v="FSDUpdate"/>
    <n v="277.25439012814428"/>
  </r>
  <r>
    <s v="P225"/>
    <x v="0"/>
    <d v="2024-06-20T00:00:00"/>
    <s v="Carousel"/>
    <s v="Check out our latest carousel on twitter!"/>
    <n v="4672"/>
    <n v="325"/>
    <n v="32"/>
    <n v="88768"/>
    <n v="87833"/>
    <n v="118"/>
    <s v="#EVRevolution"/>
    <s v="Not available"/>
    <n v="13.161837599134824"/>
  </r>
  <r>
    <s v="P226"/>
    <x v="2"/>
    <d v="2024-08-07T00:00:00"/>
    <s v="Carousel"/>
    <s v="Check out our latest carousel on instagram!"/>
    <n v="1741"/>
    <n v="164"/>
    <n v="318"/>
    <n v="8705"/>
    <n v="8272"/>
    <n v="121"/>
    <s v="#TeslaCoInnovation"/>
    <s v="Not available"/>
    <n v="134.21596783457784"/>
  </r>
  <r>
    <s v="P227"/>
    <x v="2"/>
    <d v="2024-06-12T00:00:00"/>
    <s v="Text"/>
    <s v="Check out our latest text on instagram!"/>
    <n v="246"/>
    <n v="149"/>
    <n v="130"/>
    <n v="4674"/>
    <n v="4390"/>
    <n v="217"/>
    <s v="#FutureOfDriving"/>
    <s v="FSDUpdate"/>
    <n v="249.96790757381257"/>
  </r>
  <r>
    <s v="P228"/>
    <x v="2"/>
    <d v="2024-07-01T00:00:00"/>
    <s v="Story"/>
    <s v="Check out our latest story on instagram!"/>
    <n v="4808"/>
    <n v="772"/>
    <n v="320"/>
    <n v="72120"/>
    <n v="71696"/>
    <n v="195"/>
    <s v="#EVRevolution"/>
    <s v="CybertruckLaunch"/>
    <n v="16.200083194675539"/>
  </r>
  <r>
    <s v="P229"/>
    <x v="2"/>
    <d v="2024-07-03T00:00:00"/>
    <s v="Carousel"/>
    <s v="Check out our latest carousel on instagram!"/>
    <n v="4799"/>
    <n v="694"/>
    <n v="289"/>
    <n v="43191"/>
    <n v="42228"/>
    <n v="118"/>
    <s v="#TeslaCoInnovation"/>
    <s v="Not available"/>
    <n v="27.050774466902826"/>
  </r>
  <r>
    <s v="P230"/>
    <x v="3"/>
    <d v="2024-07-15T00:00:00"/>
    <s v="Reel"/>
    <s v="Check out our latest reel on facebook!"/>
    <n v="3663"/>
    <n v="17"/>
    <n v="295"/>
    <n v="51282"/>
    <n v="50567"/>
    <n v="84"/>
    <s v="#EVRevolution"/>
    <s v="FSDUpdate"/>
    <n v="22.782847782847782"/>
  </r>
  <r>
    <s v="P231"/>
    <x v="2"/>
    <d v="2025-05-01T00:00:00"/>
    <s v="Text"/>
    <s v="Check out our latest text on instagram!"/>
    <n v="1430"/>
    <n v="376"/>
    <n v="33"/>
    <n v="21450"/>
    <n v="20509"/>
    <n v="251"/>
    <s v="#FutureOfDriving"/>
    <s v="CybertruckLaunch"/>
    <n v="54.468531468531467"/>
  </r>
  <r>
    <s v="P232"/>
    <x v="0"/>
    <d v="2025-04-29T00:00:00"/>
    <s v="Story"/>
    <s v="Check out our latest story on twitter!"/>
    <n v="249"/>
    <n v="592"/>
    <n v="230"/>
    <n v="1494"/>
    <n v="1044"/>
    <n v="201"/>
    <s v="#EVRevolution"/>
    <s v="SustainabilityDrive"/>
    <n v="782.02811244979921"/>
  </r>
  <r>
    <s v="P233"/>
    <x v="3"/>
    <d v="2025-03-08T00:00:00"/>
    <s v="Image"/>
    <s v="Check out our latest image on facebook!"/>
    <n v="2382"/>
    <n v="265"/>
    <n v="134"/>
    <n v="38112"/>
    <n v="37437"/>
    <n v="249"/>
    <s v="#FutureOfDriving"/>
    <s v="SustainabilityDrive"/>
    <n v="30.655698992443323"/>
  </r>
  <r>
    <s v="P234"/>
    <x v="3"/>
    <d v="2024-06-01T00:00:00"/>
    <s v="Text"/>
    <s v="Check out our latest text on facebook!"/>
    <n v="1272"/>
    <n v="465"/>
    <n v="99"/>
    <n v="24168"/>
    <n v="23719"/>
    <n v="42"/>
    <s v="#TeslaCoInnovation"/>
    <s v="Not available"/>
    <n v="48.342850049652434"/>
  </r>
  <r>
    <s v="P235"/>
    <x v="3"/>
    <d v="2024-12-22T00:00:00"/>
    <s v="Image"/>
    <s v="Check out our latest image on facebook!"/>
    <n v="3196"/>
    <n v="941"/>
    <n v="376"/>
    <n v="35156"/>
    <n v="34444"/>
    <n v="241"/>
    <s v="#TeslaCoInnovation"/>
    <s v="FSDUpdate"/>
    <n v="33.233302992376835"/>
  </r>
  <r>
    <s v="P236"/>
    <x v="3"/>
    <d v="2024-08-19T00:00:00"/>
    <s v="Text"/>
    <s v="Check out our latest text on facebook!"/>
    <n v="1257"/>
    <n v="19"/>
    <n v="351"/>
    <n v="12570"/>
    <n v="11660"/>
    <n v="194"/>
    <s v="#FutureOfDriving"/>
    <s v="ModelYCampaign"/>
    <n v="92.947494033412895"/>
  </r>
  <r>
    <s v="P236"/>
    <x v="3"/>
    <d v="2024-08-19T00:00:00"/>
    <s v="Text"/>
    <s v="Check out our latest text on facebook!"/>
    <n v="1257"/>
    <n v="19"/>
    <n v="351"/>
    <n v="12570"/>
    <n v="11660"/>
    <n v="194"/>
    <s v="#AnytimeIsTeslaTime"/>
    <s v="ModelYCampaign"/>
    <n v="92.947494033412895"/>
  </r>
  <r>
    <s v="P236"/>
    <x v="3"/>
    <d v="2024-08-19T00:00:00"/>
    <s v="Text"/>
    <s v="Check out our latest text on facebook!"/>
    <n v="1257"/>
    <n v="19"/>
    <n v="351"/>
    <n v="12570"/>
    <n v="11660"/>
    <n v="194"/>
    <s v="#EVRevolution"/>
    <s v="ModelYCampaign"/>
    <n v="92.947494033412895"/>
  </r>
  <r>
    <s v="P237"/>
    <x v="2"/>
    <d v="2024-10-22T00:00:00"/>
    <s v="Story"/>
    <s v="Check out our latest story on instagram!"/>
    <n v="3770"/>
    <n v="917"/>
    <n v="129"/>
    <n v="71630"/>
    <n v="71322"/>
    <n v="76"/>
    <s v="#FutureOfDriving"/>
    <s v="CybertruckLaunch"/>
    <n v="16.310903252827028"/>
  </r>
  <r>
    <s v="P238"/>
    <x v="0"/>
    <d v="2024-07-16T00:00:00"/>
    <s v="Text"/>
    <s v="Check out our latest text on twitter!"/>
    <n v="4725"/>
    <n v="400"/>
    <n v="362"/>
    <n v="75600"/>
    <n v="74927"/>
    <n v="43"/>
    <s v="#FutureOfDriving"/>
    <s v="SustainabilityDrive"/>
    <n v="15.454365079365079"/>
  </r>
  <r>
    <s v="P239"/>
    <x v="1"/>
    <d v="2025-02-24T00:00:00"/>
    <s v="Text"/>
    <s v="Check out our latest text on youtube!"/>
    <n v="4188"/>
    <n v="942"/>
    <n v="118"/>
    <n v="20940"/>
    <n v="20471"/>
    <n v="102"/>
    <s v="#FutureOfDriving"/>
    <s v="Not available"/>
    <n v="55.795128939828082"/>
  </r>
  <r>
    <s v="P240"/>
    <x v="0"/>
    <d v="2024-08-26T00:00:00"/>
    <s v="Carousel"/>
    <s v="Check out our latest carousel on twitter!"/>
    <n v="929"/>
    <n v="192"/>
    <n v="322"/>
    <n v="16722"/>
    <n v="15996"/>
    <n v="145"/>
    <s v="#EVRevolution"/>
    <s v="FSDUpdate"/>
    <n v="69.869034804449228"/>
  </r>
  <r>
    <s v="P240"/>
    <x v="0"/>
    <d v="2024-08-26T00:00:00"/>
    <s v="Carousel"/>
    <s v="Check out our latest carousel on twitter!"/>
    <n v="929"/>
    <n v="192"/>
    <n v="322"/>
    <n v="16722"/>
    <n v="15996"/>
    <n v="145"/>
    <s v="#TeslaCoInnovation"/>
    <s v="FSDUpdate"/>
    <n v="69.869034804449228"/>
  </r>
  <r>
    <s v="P240"/>
    <x v="0"/>
    <d v="2024-08-26T00:00:00"/>
    <s v="Carousel"/>
    <s v="Check out our latest carousel on twitter!"/>
    <n v="929"/>
    <n v="192"/>
    <n v="322"/>
    <n v="16722"/>
    <n v="15996"/>
    <n v="145"/>
    <s v="#AnytimeIsTeslaTime"/>
    <s v="FSDUpdate"/>
    <n v="69.869034804449228"/>
  </r>
  <r>
    <s v="P241"/>
    <x v="3"/>
    <d v="2025-01-18T00:00:00"/>
    <s v="Story"/>
    <s v="Check out our latest story on facebook!"/>
    <n v="4321"/>
    <n v="874"/>
    <n v="172"/>
    <n v="30247"/>
    <n v="29254"/>
    <n v="122"/>
    <s v="#TeslaCoInnovation"/>
    <s v="SustainabilityDrive"/>
    <n v="38.626971269878005"/>
  </r>
  <r>
    <s v="P242"/>
    <x v="3"/>
    <d v="2024-07-07T00:00:00"/>
    <s v="Reel"/>
    <s v="Check out our latest reel on facebook!"/>
    <n v="4767"/>
    <n v="190"/>
    <n v="340"/>
    <n v="28602"/>
    <n v="28044"/>
    <n v="210"/>
    <s v="#EVRevolution"/>
    <s v="FSDUpdate"/>
    <n v="40.848542059995808"/>
  </r>
  <r>
    <s v="P243"/>
    <x v="0"/>
    <d v="2025-03-06T00:00:00"/>
    <s v="Image"/>
    <s v="Check out our latest image on twitter!"/>
    <n v="3592"/>
    <n v="911"/>
    <n v="375"/>
    <n v="50288"/>
    <n v="49490"/>
    <n v="32"/>
    <s v="#FutureOfDriving"/>
    <s v="SustainabilityDrive"/>
    <n v="23.233176901049951"/>
  </r>
  <r>
    <s v="P244"/>
    <x v="1"/>
    <d v="2024-10-25T00:00:00"/>
    <s v="Video"/>
    <s v="Check out our latest video on youtube!"/>
    <n v="4661"/>
    <n v="935"/>
    <n v="433"/>
    <n v="23305"/>
    <n v="22583"/>
    <n v="63"/>
    <s v="#FutureOfDriving"/>
    <s v="FSDUpdate"/>
    <n v="50.133018665522421"/>
  </r>
  <r>
    <s v="P245"/>
    <x v="3"/>
    <d v="2025-01-12T00:00:00"/>
    <s v="Reel"/>
    <s v="Check out our latest reel on facebook!"/>
    <n v="4134"/>
    <n v="824"/>
    <n v="99"/>
    <n v="41340"/>
    <n v="41050"/>
    <n v="177"/>
    <s v="#EVRevolution"/>
    <s v="CybertruckLaunch"/>
    <n v="28.261973875181422"/>
  </r>
  <r>
    <s v="P246"/>
    <x v="3"/>
    <d v="2024-10-11T00:00:00"/>
    <s v="Image"/>
    <s v="Check out our latest image on facebook!"/>
    <n v="400"/>
    <n v="680"/>
    <n v="434"/>
    <n v="6400"/>
    <n v="5472"/>
    <n v="160"/>
    <s v="#FutureOfDriving"/>
    <s v="ModelYCampaign"/>
    <n v="182.5546875"/>
  </r>
  <r>
    <s v="P247"/>
    <x v="3"/>
    <d v="2024-08-27T00:00:00"/>
    <s v="Reel"/>
    <s v="Check out our latest reel on facebook!"/>
    <n v="3960"/>
    <n v="266"/>
    <n v="8"/>
    <n v="35640"/>
    <n v="34850"/>
    <n v="208"/>
    <s v="#FutureOfDriving"/>
    <s v="Not available"/>
    <n v="32.781986531986533"/>
  </r>
  <r>
    <s v="P247"/>
    <x v="3"/>
    <d v="2024-08-27T00:00:00"/>
    <s v="Reel"/>
    <s v="Check out our latest reel on facebook!"/>
    <n v="3960"/>
    <n v="266"/>
    <n v="8"/>
    <n v="35640"/>
    <n v="34850"/>
    <n v="208"/>
    <s v="#EVRevolution"/>
    <s v="Not available"/>
    <n v="32.781986531986533"/>
  </r>
  <r>
    <s v="P247"/>
    <x v="3"/>
    <d v="2024-08-27T00:00:00"/>
    <s v="Reel"/>
    <s v="Check out our latest reel on facebook!"/>
    <n v="3960"/>
    <n v="266"/>
    <n v="8"/>
    <n v="35640"/>
    <n v="34850"/>
    <n v="208"/>
    <s v="#BetterWithTesla"/>
    <s v="Not available"/>
    <n v="32.781986531986533"/>
  </r>
  <r>
    <s v="P248"/>
    <x v="3"/>
    <d v="2025-02-02T00:00:00"/>
    <s v="Story"/>
    <s v="Check out our latest story on facebook!"/>
    <n v="886"/>
    <n v="126"/>
    <n v="153"/>
    <n v="4430"/>
    <n v="4037"/>
    <n v="212"/>
    <s v="#EVRevolution"/>
    <s v="Not available"/>
    <n v="263.73589164785551"/>
  </r>
  <r>
    <s v="P249"/>
    <x v="0"/>
    <d v="2024-07-18T00:00:00"/>
    <s v="Image"/>
    <s v="Check out our latest image on twitter!"/>
    <n v="827"/>
    <n v="77"/>
    <n v="402"/>
    <n v="14886"/>
    <n v="14129"/>
    <n v="254"/>
    <s v="#EVRevolution"/>
    <s v="ModelYCampaign"/>
    <n v="78.486497380088679"/>
  </r>
  <r>
    <s v="P250"/>
    <x v="3"/>
    <d v="2024-06-22T00:00:00"/>
    <s v="Reel"/>
    <s v="Check out our latest reel on facebook!"/>
    <n v="3813"/>
    <n v="935"/>
    <n v="274"/>
    <n v="68634"/>
    <n v="68488"/>
    <n v="251"/>
    <s v="#FutureOfDriving"/>
    <s v="Not available"/>
    <n v="17.022904100008741"/>
  </r>
  <r>
    <s v="P251"/>
    <x v="2"/>
    <d v="2025-03-27T00:00:00"/>
    <s v="Carousel"/>
    <s v="Check out our latest carousel on instagram!"/>
    <n v="1377"/>
    <n v="796"/>
    <n v="387"/>
    <n v="22032"/>
    <n v="21869"/>
    <n v="189"/>
    <s v="#FutureOfDriving"/>
    <s v="Not available"/>
    <n v="53.029684095860567"/>
  </r>
  <r>
    <s v="P252"/>
    <x v="3"/>
    <d v="2025-04-28T00:00:00"/>
    <s v="Carousel"/>
    <s v="Check out our latest carousel on facebook!"/>
    <n v="2089"/>
    <n v="476"/>
    <n v="69"/>
    <n v="16712"/>
    <n v="16309"/>
    <n v="64"/>
    <s v="#FutureOfDriving"/>
    <s v="FSDUpdate"/>
    <n v="69.910842508377215"/>
  </r>
  <r>
    <s v="P253"/>
    <x v="0"/>
    <d v="2024-08-03T00:00:00"/>
    <s v="Reel"/>
    <s v="Check out our latest reel on twitter!"/>
    <n v="3791"/>
    <n v="593"/>
    <n v="228"/>
    <n v="53074"/>
    <n v="52613"/>
    <n v="205"/>
    <s v="#EVRevolution"/>
    <s v="Not available"/>
    <n v="22.013603647737121"/>
  </r>
  <r>
    <s v="P254"/>
    <x v="0"/>
    <d v="2025-01-14T00:00:00"/>
    <s v="Image"/>
    <s v="Check out our latest image on twitter!"/>
    <n v="2692"/>
    <n v="115"/>
    <n v="64"/>
    <n v="21536"/>
    <n v="21120"/>
    <n v="224"/>
    <s v="#FutureOfDriving"/>
    <s v="ModelYCampaign"/>
    <n v="54.251021545319468"/>
  </r>
  <r>
    <s v="P255"/>
    <x v="3"/>
    <d v="2025-04-03T00:00:00"/>
    <s v="Story"/>
    <s v="Check out our latest story on facebook!"/>
    <n v="3767"/>
    <n v="514"/>
    <n v="238"/>
    <n v="37670"/>
    <n v="36807"/>
    <n v="226"/>
    <s v="#FutureOfDriving"/>
    <s v="SustainabilityDrive"/>
    <n v="31.015396867533848"/>
  </r>
  <r>
    <s v="P256"/>
    <x v="1"/>
    <d v="2024-09-18T00:00:00"/>
    <s v="Carousel"/>
    <s v="Check out our latest carousel on youtube!"/>
    <n v="2143"/>
    <n v="12"/>
    <n v="204"/>
    <n v="40717"/>
    <n v="40125"/>
    <n v="248"/>
    <s v="#EVRevolution"/>
    <s v="ModelYCampaign"/>
    <n v="28.694402829285064"/>
  </r>
  <r>
    <s v="P257"/>
    <x v="3"/>
    <d v="2025-04-06T00:00:00"/>
    <s v="Image"/>
    <s v="Check out our latest image on facebook!"/>
    <n v="3090"/>
    <n v="697"/>
    <n v="164"/>
    <n v="49440"/>
    <n v="48524"/>
    <n v="25"/>
    <s v="#EVRevolution"/>
    <s v="ModelYCampaign"/>
    <n v="23.631674757281555"/>
  </r>
  <r>
    <s v="P257"/>
    <x v="3"/>
    <d v="2025-04-06T00:00:00"/>
    <s v="Image"/>
    <s v="Check out our latest image on facebook!"/>
    <n v="3090"/>
    <n v="697"/>
    <n v="164"/>
    <n v="49440"/>
    <n v="48524"/>
    <n v="25"/>
    <s v="#EVRevolution"/>
    <s v="ModelYCampaign"/>
    <n v="23.631674757281555"/>
  </r>
  <r>
    <s v="P257"/>
    <x v="3"/>
    <d v="2025-04-06T00:00:00"/>
    <s v="Image"/>
    <s v="Check out our latest image on facebook!"/>
    <n v="3090"/>
    <n v="697"/>
    <n v="164"/>
    <n v="49440"/>
    <n v="48524"/>
    <n v="25"/>
    <s v="#BetterWithTesla"/>
    <s v="ModelYCampaign"/>
    <n v="23.631674757281555"/>
  </r>
  <r>
    <s v="P258"/>
    <x v="2"/>
    <d v="2024-08-05T00:00:00"/>
    <s v="Story"/>
    <s v="Check out our latest story on instagram!"/>
    <n v="3601"/>
    <n v="695"/>
    <n v="75"/>
    <n v="21606"/>
    <n v="21454"/>
    <n v="172"/>
    <s v="#EVRevolution"/>
    <s v="ModelYCampaign"/>
    <n v="54.075256873090808"/>
  </r>
  <r>
    <s v="P259"/>
    <x v="3"/>
    <d v="2025-02-10T00:00:00"/>
    <s v="Text"/>
    <s v="Check out our latest text on facebook!"/>
    <n v="562"/>
    <n v="158"/>
    <n v="149"/>
    <n v="3372"/>
    <n v="2940"/>
    <n v="93"/>
    <s v="#TeslaCoInnovation"/>
    <s v="CybertruckLaunch"/>
    <n v="346.48576512455514"/>
  </r>
  <r>
    <s v="P260"/>
    <x v="2"/>
    <d v="2025-02-12T00:00:00"/>
    <s v="Story"/>
    <s v="Check out our latest story on instagram!"/>
    <n v="4332"/>
    <n v="771"/>
    <n v="219"/>
    <n v="60648"/>
    <n v="60397"/>
    <n v="10"/>
    <s v="#TeslaCoInnovation"/>
    <s v="FSDUpdate"/>
    <n v="19.264444004748714"/>
  </r>
  <r>
    <s v="P260"/>
    <x v="2"/>
    <d v="2025-02-12T00:00:00"/>
    <s v="Story"/>
    <s v="Check out our latest story on instagram!"/>
    <n v="4332"/>
    <n v="771"/>
    <n v="219"/>
    <n v="60648"/>
    <n v="60397"/>
    <n v="10"/>
    <s v="#EVRevolution"/>
    <s v="FSDUpdate"/>
    <n v="19.264444004748714"/>
  </r>
  <r>
    <s v="P260"/>
    <x v="2"/>
    <d v="2025-02-12T00:00:00"/>
    <s v="Story"/>
    <s v="Check out our latest story on instagram!"/>
    <n v="4332"/>
    <n v="771"/>
    <n v="219"/>
    <n v="60648"/>
    <n v="60397"/>
    <n v="10"/>
    <s v="#BetterWithTesla"/>
    <s v="FSDUpdate"/>
    <n v="19.264444004748714"/>
  </r>
  <r>
    <s v="P261"/>
    <x v="2"/>
    <d v="2024-10-27T00:00:00"/>
    <s v="Image"/>
    <s v="Check out our latest image on instagram!"/>
    <n v="4853"/>
    <n v="837"/>
    <n v="340"/>
    <n v="72795"/>
    <n v="72237"/>
    <n v="170"/>
    <s v="#EVRevolution"/>
    <s v="CybertruckLaunch"/>
    <n v="16.049866062229547"/>
  </r>
  <r>
    <s v="P262"/>
    <x v="1"/>
    <d v="2025-01-18T00:00:00"/>
    <s v="Image"/>
    <s v="Check out our latest image on youtube!"/>
    <n v="1206"/>
    <n v="238"/>
    <n v="36"/>
    <n v="9648"/>
    <n v="9417"/>
    <n v="237"/>
    <s v="#TeslaCoInnovation"/>
    <s v="Not available"/>
    <n v="121.0976368159204"/>
  </r>
  <r>
    <s v="P263"/>
    <x v="2"/>
    <d v="2024-08-20T00:00:00"/>
    <s v="Reel"/>
    <s v="Check out our latest reel on instagram!"/>
    <n v="2603"/>
    <n v="690"/>
    <n v="205"/>
    <n v="13015"/>
    <n v="12130"/>
    <n v="20"/>
    <s v="#FutureOfDriving"/>
    <s v="ModelYCampaign"/>
    <n v="89.769496734537071"/>
  </r>
  <r>
    <s v="P264"/>
    <x v="0"/>
    <d v="2025-01-30T00:00:00"/>
    <s v="Image"/>
    <s v="Check out our latest image on twitter!"/>
    <n v="59"/>
    <n v="163"/>
    <n v="93"/>
    <n v="590"/>
    <n v="475"/>
    <n v="293"/>
    <s v="#TeslaCoInnovation"/>
    <s v="ModelYCampaign"/>
    <n v="1980.2542372881355"/>
  </r>
  <r>
    <s v="P265"/>
    <x v="0"/>
    <d v="2025-02-20T00:00:00"/>
    <s v="Carousel"/>
    <s v="Check out our latest carousel on twitter!"/>
    <n v="1877"/>
    <n v="745"/>
    <n v="225"/>
    <n v="11262"/>
    <n v="10967"/>
    <n v="41"/>
    <s v="#EVRevolution"/>
    <s v="SustainabilityDrive"/>
    <n v="103.74267448055407"/>
  </r>
  <r>
    <s v="P266"/>
    <x v="3"/>
    <d v="2024-11-25T00:00:00"/>
    <s v="Story"/>
    <s v="Check out our latest story on facebook!"/>
    <n v="4182"/>
    <n v="640"/>
    <n v="240"/>
    <n v="50184"/>
    <n v="49351"/>
    <n v="10"/>
    <s v="#TeslaCoInnovation"/>
    <s v="FSDUpdate"/>
    <n v="23.281324725011956"/>
  </r>
  <r>
    <s v="P267"/>
    <x v="0"/>
    <d v="2024-10-04T00:00:00"/>
    <s v="Reel"/>
    <s v="Check out our latest reel on twitter!"/>
    <n v="4187"/>
    <n v="66"/>
    <n v="31"/>
    <n v="66992"/>
    <n v="66614"/>
    <n v="62"/>
    <s v="#FutureOfDriving"/>
    <s v="Not available"/>
    <n v="17.440142106520181"/>
  </r>
  <r>
    <s v="P268"/>
    <x v="2"/>
    <d v="2025-04-13T00:00:00"/>
    <s v="Reel"/>
    <s v="Check out our latest reel on instagram!"/>
    <n v="4579"/>
    <n v="125"/>
    <n v="300"/>
    <n v="59527"/>
    <n v="59400"/>
    <n v="269"/>
    <s v="#EVRevolution"/>
    <s v="CybertruckLaunch"/>
    <n v="19.627227980580241"/>
  </r>
  <r>
    <s v="P269"/>
    <x v="2"/>
    <d v="2024-11-05T00:00:00"/>
    <s v="Video"/>
    <s v="Check out our latest video on instagram!"/>
    <n v="4561"/>
    <n v="51"/>
    <n v="441"/>
    <n v="22805"/>
    <n v="21890"/>
    <n v="45"/>
    <s v="#TeslaCoInnovation"/>
    <s v="ModelYCampaign"/>
    <n v="51.232185924139444"/>
  </r>
  <r>
    <s v="P270"/>
    <x v="1"/>
    <d v="2025-01-15T00:00:00"/>
    <s v="Reel"/>
    <s v="Check out our latest reel on youtube!"/>
    <n v="3774"/>
    <n v="239"/>
    <n v="39"/>
    <n v="60384"/>
    <n v="59490"/>
    <n v="241"/>
    <s v="#TeslaCoInnovation"/>
    <s v="FSDUpdate"/>
    <n v="19.348668521462638"/>
  </r>
  <r>
    <s v="P271"/>
    <x v="2"/>
    <d v="2024-10-17T00:00:00"/>
    <s v="Video"/>
    <s v="Check out our latest video on instagram!"/>
    <n v="3575"/>
    <n v="749"/>
    <n v="111"/>
    <n v="21450"/>
    <n v="20785"/>
    <n v="195"/>
    <s v="#EVRevolution"/>
    <s v="ModelYCampaign"/>
    <n v="54.468531468531467"/>
  </r>
  <r>
    <s v="P272"/>
    <x v="2"/>
    <d v="2025-03-27T00:00:00"/>
    <s v="Text"/>
    <s v="Check out our latest text on instagram!"/>
    <n v="4941"/>
    <n v="414"/>
    <n v="266"/>
    <n v="39528"/>
    <n v="39154"/>
    <n v="217"/>
    <s v="#TeslaCoInnovation"/>
    <s v="FSDUpdate"/>
    <n v="29.557528840315726"/>
  </r>
  <r>
    <s v="P273"/>
    <x v="1"/>
    <d v="2024-10-12T00:00:00"/>
    <s v="Story"/>
    <s v="Check out our latest story on youtube!"/>
    <n v="3641"/>
    <n v="226"/>
    <n v="46"/>
    <n v="40051"/>
    <n v="39319"/>
    <n v="296"/>
    <s v="#EVRevolution"/>
    <s v="SustainabilityDrive"/>
    <n v="29.171556265761154"/>
  </r>
  <r>
    <s v="P274"/>
    <x v="0"/>
    <d v="2025-01-01T00:00:00"/>
    <s v="Carousel"/>
    <s v="Check out our latest carousel on twitter!"/>
    <n v="3535"/>
    <n v="494"/>
    <n v="152"/>
    <n v="53025"/>
    <n v="52791"/>
    <n v="44"/>
    <s v="#TeslaCoInnovation"/>
    <s v="SustainabilityDrive"/>
    <n v="22.033946251768032"/>
  </r>
  <r>
    <s v="P275"/>
    <x v="3"/>
    <d v="2024-08-05T00:00:00"/>
    <s v="Reel"/>
    <s v="Check out our latest reel on facebook!"/>
    <n v="1741"/>
    <n v="831"/>
    <n v="345"/>
    <n v="17410"/>
    <n v="16844"/>
    <n v="58"/>
    <s v="#EVRevolution"/>
    <s v="FSDUpdate"/>
    <n v="67.107983917288919"/>
  </r>
  <r>
    <s v="P276"/>
    <x v="0"/>
    <d v="2024-06-07T00:00:00"/>
    <s v="Carousel"/>
    <s v="Check out our latest carousel on twitter!"/>
    <n v="1556"/>
    <n v="195"/>
    <n v="131"/>
    <n v="9336"/>
    <n v="8875"/>
    <n v="137"/>
    <s v="#TeslaCoInnovation"/>
    <s v="ModelYCampaign"/>
    <n v="125.14460154241645"/>
  </r>
  <r>
    <s v="P277"/>
    <x v="3"/>
    <d v="2025-04-06T00:00:00"/>
    <s v="Image"/>
    <s v="Check out our latest image on facebook!"/>
    <n v="4236"/>
    <n v="711"/>
    <n v="298"/>
    <n v="21180"/>
    <n v="20516"/>
    <n v="238"/>
    <s v="#FutureOfDriving"/>
    <s v="CybertruckLaunch"/>
    <n v="55.1628895184136"/>
  </r>
  <r>
    <s v="P278"/>
    <x v="0"/>
    <d v="2024-11-26T00:00:00"/>
    <s v="Text"/>
    <s v="Check out our latest text on twitter!"/>
    <n v="4516"/>
    <n v="836"/>
    <n v="169"/>
    <n v="49676"/>
    <n v="49257"/>
    <n v="282"/>
    <s v="#EVRevolution"/>
    <s v="SustainabilityDrive"/>
    <n v="23.519405749255174"/>
  </r>
  <r>
    <s v="P279"/>
    <x v="1"/>
    <d v="2024-09-02T00:00:00"/>
    <s v="Image"/>
    <s v="Check out our latest image on youtube!"/>
    <n v="4905"/>
    <n v="845"/>
    <n v="129"/>
    <n v="98100"/>
    <n v="97772"/>
    <n v="279"/>
    <s v="#TeslaCoInnovation"/>
    <s v="ModelYCampaign"/>
    <n v="11.909785932721713"/>
  </r>
  <r>
    <s v="P280"/>
    <x v="1"/>
    <d v="2024-10-21T00:00:00"/>
    <s v="Video"/>
    <s v="Check out our latest video on youtube!"/>
    <n v="4275"/>
    <n v="680"/>
    <n v="385"/>
    <n v="64125"/>
    <n v="63650"/>
    <n v="104"/>
    <s v="#EVRevolution"/>
    <s v="SustainabilityDrive"/>
    <n v="18.219883040935674"/>
  </r>
  <r>
    <s v="P280"/>
    <x v="1"/>
    <d v="2024-10-21T00:00:00"/>
    <s v="Video"/>
    <s v="Check out our latest video on youtube!"/>
    <n v="4275"/>
    <n v="680"/>
    <n v="385"/>
    <n v="64125"/>
    <n v="63650"/>
    <n v="104"/>
    <s v="#TeslaCoInnovation"/>
    <s v="SustainabilityDrive"/>
    <n v="18.219883040935674"/>
  </r>
  <r>
    <s v="P280"/>
    <x v="1"/>
    <d v="2024-10-21T00:00:00"/>
    <s v="Video"/>
    <s v="Check out our latest video on youtube!"/>
    <n v="4275"/>
    <n v="680"/>
    <n v="385"/>
    <n v="64125"/>
    <n v="63650"/>
    <n v="104"/>
    <s v="#AnytimeIsTeslaTime"/>
    <s v="SustainabilityDrive"/>
    <n v="18.219883040935674"/>
  </r>
  <r>
    <s v="P281"/>
    <x v="1"/>
    <d v="2025-03-22T00:00:00"/>
    <s v="Image"/>
    <s v="Check out our latest image on youtube!"/>
    <n v="3166"/>
    <n v="90"/>
    <n v="341"/>
    <n v="56988"/>
    <n v="56125"/>
    <n v="135"/>
    <s v="#EVRevolution"/>
    <s v="ModelYCampaign"/>
    <n v="20.501684565171615"/>
  </r>
  <r>
    <s v="P282"/>
    <x v="2"/>
    <d v="2024-10-03T00:00:00"/>
    <s v="Video"/>
    <s v="Check out our latest video on instagram!"/>
    <n v="1488"/>
    <n v="417"/>
    <n v="168"/>
    <n v="19344"/>
    <n v="18395"/>
    <n v="30"/>
    <s v="#FutureOfDriving"/>
    <s v="FSDUpdate"/>
    <n v="60.398573200992558"/>
  </r>
  <r>
    <s v="P283"/>
    <x v="0"/>
    <d v="2025-05-09T00:00:00"/>
    <s v="Reel"/>
    <s v="Check out our latest reel on twitter!"/>
    <n v="3367"/>
    <n v="302"/>
    <n v="57"/>
    <n v="63973"/>
    <n v="63789"/>
    <n v="157"/>
    <s v="#FutureOfDriving"/>
    <s v="ModelYCampaign"/>
    <n v="18.263173526331421"/>
  </r>
  <r>
    <s v="P284"/>
    <x v="0"/>
    <d v="2024-09-17T00:00:00"/>
    <s v="Text"/>
    <s v="Check out our latest text on twitter!"/>
    <n v="571"/>
    <n v="190"/>
    <n v="352"/>
    <n v="9707"/>
    <n v="9418"/>
    <n v="231"/>
    <s v="#TeslaCoInnovation"/>
    <s v="SustainabilityDrive"/>
    <n v="120.36159472545586"/>
  </r>
  <r>
    <s v="P285"/>
    <x v="1"/>
    <d v="2024-07-18T00:00:00"/>
    <s v="Text"/>
    <s v="Check out our latest text on youtube!"/>
    <n v="4021"/>
    <n v="794"/>
    <n v="77"/>
    <n v="36189"/>
    <n v="35505"/>
    <n v="174"/>
    <s v="#EVRevolution"/>
    <s v="Not available"/>
    <n v="32.284672137942472"/>
  </r>
  <r>
    <s v="P286"/>
    <x v="1"/>
    <d v="2024-09-25T00:00:00"/>
    <s v="Video"/>
    <s v="Check out our latest video on youtube!"/>
    <n v="3389"/>
    <n v="344"/>
    <n v="229"/>
    <n v="20334"/>
    <n v="19443"/>
    <n v="228"/>
    <s v="#FutureOfDriving"/>
    <s v="FSDUpdate"/>
    <n v="57.457952198288581"/>
  </r>
  <r>
    <s v="P287"/>
    <x v="2"/>
    <d v="2024-08-15T00:00:00"/>
    <s v="Reel"/>
    <s v="Check out our latest reel on instagram!"/>
    <n v="1164"/>
    <n v="616"/>
    <n v="324"/>
    <n v="6984"/>
    <n v="6636"/>
    <n v="82"/>
    <s v="#EVRevolution"/>
    <s v="CybertruckLaunch"/>
    <n v="167.28951890034364"/>
  </r>
  <r>
    <s v="P288"/>
    <x v="1"/>
    <d v="2025-04-17T00:00:00"/>
    <s v="Carousel"/>
    <s v="Check out our latest carousel on youtube!"/>
    <n v="4780"/>
    <n v="691"/>
    <n v="380"/>
    <n v="86040"/>
    <n v="85743"/>
    <n v="262"/>
    <s v="#FutureOfDriving"/>
    <s v="FSDUpdate"/>
    <n v="13.579149232914924"/>
  </r>
  <r>
    <s v="P289"/>
    <x v="3"/>
    <d v="2024-11-28T00:00:00"/>
    <s v="Carousel"/>
    <s v="Check out our latest carousel on facebook!"/>
    <n v="2751"/>
    <n v="33"/>
    <n v="430"/>
    <n v="44016"/>
    <n v="43415"/>
    <n v="129"/>
    <s v="#FutureOfDriving"/>
    <s v="Not available"/>
    <n v="26.543756815703382"/>
  </r>
  <r>
    <s v="P290"/>
    <x v="2"/>
    <d v="2024-12-20T00:00:00"/>
    <s v="Carousel"/>
    <s v="Check out our latest carousel on instagram!"/>
    <n v="2107"/>
    <n v="550"/>
    <n v="349"/>
    <n v="35819"/>
    <n v="35340"/>
    <n v="191"/>
    <s v="#EVRevolution"/>
    <s v="SustainabilityDrive"/>
    <n v="32.618163544487565"/>
  </r>
  <r>
    <s v="P291"/>
    <x v="3"/>
    <d v="2024-11-06T00:00:00"/>
    <s v="Video"/>
    <s v="Check out our latest video on facebook!"/>
    <n v="4663"/>
    <n v="145"/>
    <n v="225"/>
    <n v="69945"/>
    <n v="69596"/>
    <n v="35"/>
    <s v="#EVRevolution"/>
    <s v="SustainabilityDrive"/>
    <n v="16.703838730431052"/>
  </r>
  <r>
    <s v="P292"/>
    <x v="3"/>
    <d v="2024-11-17T00:00:00"/>
    <s v="Text"/>
    <s v="Check out our latest text on facebook!"/>
    <n v="880"/>
    <n v="297"/>
    <n v="345"/>
    <n v="12320"/>
    <n v="11978"/>
    <n v="238"/>
    <s v="#TeslaCoInnovation"/>
    <s v="Not available"/>
    <n v="94.833603896103895"/>
  </r>
  <r>
    <s v="P292"/>
    <x v="3"/>
    <d v="2024-11-17T00:00:00"/>
    <s v="Text"/>
    <s v="Check out our latest text on facebook!"/>
    <n v="880"/>
    <n v="297"/>
    <n v="345"/>
    <n v="12320"/>
    <n v="11978"/>
    <n v="238"/>
    <s v="#AnytimeIsTeslaTime"/>
    <s v="Not available"/>
    <n v="94.833603896103895"/>
  </r>
  <r>
    <s v="P293"/>
    <x v="3"/>
    <d v="2025-05-14T00:00:00"/>
    <s v="Text"/>
    <s v="Check out our latest text on facebook!"/>
    <n v="2634"/>
    <n v="726"/>
    <n v="241"/>
    <n v="28974"/>
    <n v="28102"/>
    <n v="277"/>
    <s v="#EVRevolution"/>
    <s v="CybertruckLaunch"/>
    <n v="40.3240836612135"/>
  </r>
  <r>
    <s v="P294"/>
    <x v="3"/>
    <d v="2024-06-19T00:00:00"/>
    <s v="Carousel"/>
    <s v="Check out our latest carousel on facebook!"/>
    <n v="4731"/>
    <n v="173"/>
    <n v="276"/>
    <n v="28386"/>
    <n v="28185"/>
    <n v="89"/>
    <s v="#EVRevolution"/>
    <s v="FSDUpdate"/>
    <n v="41.159374339463113"/>
  </r>
  <r>
    <s v="P295"/>
    <x v="0"/>
    <d v="2025-05-06T00:00:00"/>
    <s v="Image"/>
    <s v="Check out our latest image on twitter!"/>
    <n v="1952"/>
    <n v="344"/>
    <n v="287"/>
    <n v="15616"/>
    <n v="15403"/>
    <n v="235"/>
    <s v="#FutureOfDriving"/>
    <s v="ModelYCampaign"/>
    <n v="74.817494877049185"/>
  </r>
  <r>
    <s v="P295"/>
    <x v="0"/>
    <d v="2025-05-06T00:00:00"/>
    <s v="Image"/>
    <s v="Check out our latest image on twitter!"/>
    <n v="1952"/>
    <n v="344"/>
    <n v="287"/>
    <n v="15616"/>
    <n v="15403"/>
    <n v="235"/>
    <s v="#TeslaCoInnovation"/>
    <s v="ModelYCampaign"/>
    <n v="74.817494877049185"/>
  </r>
  <r>
    <s v="P295"/>
    <x v="0"/>
    <d v="2025-05-06T00:00:00"/>
    <s v="Image"/>
    <s v="Check out our latest image on twitter!"/>
    <n v="1952"/>
    <n v="344"/>
    <n v="287"/>
    <n v="15616"/>
    <n v="15403"/>
    <n v="235"/>
    <s v="#AnytimeIsTeslaTime"/>
    <s v="ModelYCampaign"/>
    <n v="74.817494877049185"/>
  </r>
  <r>
    <s v="P296"/>
    <x v="0"/>
    <d v="2025-02-11T00:00:00"/>
    <s v="Video"/>
    <s v="Check out our latest video on twitter!"/>
    <n v="3440"/>
    <n v="13"/>
    <n v="20"/>
    <n v="58480"/>
    <n v="58146"/>
    <n v="210"/>
    <s v="#TeslaCoInnovation"/>
    <s v="SustainabilityDrive"/>
    <n v="19.978625170998633"/>
  </r>
  <r>
    <s v="P296"/>
    <x v="0"/>
    <d v="2025-02-11T00:00:00"/>
    <s v="Video"/>
    <s v="Check out our latest video on twitter!"/>
    <n v="3440"/>
    <n v="13"/>
    <n v="20"/>
    <n v="58480"/>
    <n v="58146"/>
    <n v="210"/>
    <s v="#SmoothLikeNitroTesla"/>
    <s v="SustainabilityDrive"/>
    <n v="19.978625170998633"/>
  </r>
  <r>
    <s v="P297"/>
    <x v="0"/>
    <d v="2024-12-24T00:00:00"/>
    <s v="Text"/>
    <s v="Check out our latest text on twitter!"/>
    <n v="2166"/>
    <n v="354"/>
    <n v="117"/>
    <n v="10830"/>
    <n v="10245"/>
    <n v="24"/>
    <s v="#EVRevolution"/>
    <s v="SustainabilityDrive"/>
    <n v="107.8808864265928"/>
  </r>
  <r>
    <s v="P298"/>
    <x v="3"/>
    <d v="2024-10-24T00:00:00"/>
    <s v="Image"/>
    <s v="Check out our latest image on facebook!"/>
    <n v="4303"/>
    <n v="451"/>
    <n v="286"/>
    <n v="86060"/>
    <n v="85823"/>
    <n v="14"/>
    <s v="#TeslaCoInnovation"/>
    <s v="FSDUpdate"/>
    <n v="13.575993492911921"/>
  </r>
  <r>
    <s v="P299"/>
    <x v="3"/>
    <d v="2024-08-26T00:00:00"/>
    <s v="Image"/>
    <s v="Check out our latest image on facebook!"/>
    <n v="2581"/>
    <n v="517"/>
    <n v="117"/>
    <n v="23229"/>
    <n v="22331"/>
    <n v="70"/>
    <s v="#FutureOfDriving"/>
    <s v="FSDUpdate"/>
    <n v="50.297042489990957"/>
  </r>
  <r>
    <s v="P300"/>
    <x v="0"/>
    <d v="2024-08-31T00:00:00"/>
    <s v="Carousel"/>
    <s v="Check out our latest carousel on twitter!"/>
    <n v="4494"/>
    <n v="717"/>
    <n v="45"/>
    <n v="62916"/>
    <n v="62688"/>
    <n v="191"/>
    <s v="#TeslaCoInnovation"/>
    <s v="CybertruckLaunch"/>
    <n v="18.569998092695023"/>
  </r>
  <r>
    <s v="P300"/>
    <x v="0"/>
    <d v="2024-08-31T00:00:00"/>
    <s v="Carousel"/>
    <s v="Check out our latest carousel on twitter!"/>
    <n v="4494"/>
    <n v="717"/>
    <n v="45"/>
    <n v="62916"/>
    <n v="62688"/>
    <n v="191"/>
    <s v="#EVRevolution"/>
    <s v="CybertruckLaunch"/>
    <n v="18.569998092695023"/>
  </r>
  <r>
    <s v="P300"/>
    <x v="0"/>
    <d v="2024-08-31T00:00:00"/>
    <s v="Carousel"/>
    <s v="Check out our latest carousel on twitter!"/>
    <n v="4494"/>
    <n v="717"/>
    <n v="45"/>
    <n v="62916"/>
    <n v="62688"/>
    <n v="191"/>
    <s v="#BetterWithTesla"/>
    <s v="CybertruckLaunch"/>
    <n v="18.5699980926950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s v="Twitter"/>
    <d v="2024-09-05T00:00:00"/>
    <s v="Video"/>
    <s v="Check out our latest video on twitter!"/>
    <n v="4886"/>
    <n v="983"/>
    <n v="409"/>
    <n v="43974"/>
    <n v="43239"/>
    <n v="65"/>
    <x v="0"/>
    <s v="CybertruckLaunch"/>
    <n v="26.569109018965751"/>
    <n v="6278"/>
  </r>
  <r>
    <s v="YouTube"/>
    <d v="2024-10-28T00:00:00"/>
    <s v="Story"/>
    <s v="Check out our latest story on youtube!"/>
    <n v="4929"/>
    <n v="749"/>
    <n v="452"/>
    <n v="93651"/>
    <n v="92810"/>
    <n v="66"/>
    <x v="1"/>
    <s v="SustainabilityDrive"/>
    <n v="12.475574206361918"/>
    <n v="6130"/>
  </r>
  <r>
    <s v="YouTube"/>
    <d v="2025-02-27T00:00:00"/>
    <s v="Text"/>
    <s v="Check out our latest text on youtube!"/>
    <n v="4934"/>
    <n v="971"/>
    <n v="156"/>
    <n v="39472"/>
    <n v="39025"/>
    <n v="169"/>
    <x v="0"/>
    <s v="SustainabilityDrive"/>
    <n v="29.599462910417511"/>
    <n v="6061"/>
  </r>
  <r>
    <s v="YouTube"/>
    <d v="2025-02-27T00:00:00"/>
    <s v="Text"/>
    <s v="Check out our latest text on youtube!"/>
    <n v="4934"/>
    <n v="971"/>
    <n v="156"/>
    <n v="39472"/>
    <n v="39025"/>
    <n v="169"/>
    <x v="2"/>
    <s v="SustainabilityDrive"/>
    <n v="29.599462910417511"/>
    <n v="6061"/>
  </r>
  <r>
    <s v="Instagram"/>
    <d v="2024-10-27T00:00:00"/>
    <s v="Image"/>
    <s v="Check out our latest image on instagram!"/>
    <n v="4853"/>
    <n v="837"/>
    <n v="340"/>
    <n v="72795"/>
    <n v="72237"/>
    <n v="170"/>
    <x v="1"/>
    <s v="CybertruckLaunch"/>
    <n v="16.049866062229547"/>
    <n v="6030"/>
  </r>
  <r>
    <s v="YouTube"/>
    <d v="2024-10-25T00:00:00"/>
    <s v="Video"/>
    <s v="Check out our latest video on youtube!"/>
    <n v="4661"/>
    <n v="935"/>
    <n v="433"/>
    <n v="23305"/>
    <n v="22583"/>
    <n v="63"/>
    <x v="3"/>
    <s v="FSDUpdate"/>
    <n v="50.133018665522421"/>
    <n v="6029"/>
  </r>
  <r>
    <s v="Facebook"/>
    <d v="2025-05-06T00:00:00"/>
    <s v="Image"/>
    <s v="Check out our latest image on facebook!"/>
    <n v="4872"/>
    <n v="925"/>
    <n v="176"/>
    <n v="82824"/>
    <n v="82543"/>
    <n v="89"/>
    <x v="1"/>
    <s v="ModelYCampaign"/>
    <n v="14.106418429440742"/>
    <n v="5973"/>
  </r>
  <r>
    <s v="Instagram"/>
    <d v="2025-02-04T00:00:00"/>
    <s v="Image"/>
    <s v="Check out our latest image on instagram!"/>
    <n v="4619"/>
    <n v="821"/>
    <n v="499"/>
    <n v="69285"/>
    <n v="69141"/>
    <n v="298"/>
    <x v="0"/>
    <s v="SustainabilityDrive"/>
    <n v="16.862957350075774"/>
    <n v="5939"/>
  </r>
  <r>
    <s v="Twitter"/>
    <d v="2025-02-19T00:00:00"/>
    <s v="Text"/>
    <s v="Check out our latest text on twitter!"/>
    <n v="4671"/>
    <n v="876"/>
    <n v="366"/>
    <n v="51381"/>
    <n v="50565"/>
    <n v="245"/>
    <x v="0"/>
    <s v="SustainabilityDrive"/>
    <n v="22.738950195597596"/>
    <n v="5913"/>
  </r>
  <r>
    <s v="Instagram"/>
    <d v="2024-07-01T00:00:00"/>
    <s v="Story"/>
    <s v="Check out our latest story on instagram!"/>
    <n v="4808"/>
    <n v="772"/>
    <n v="320"/>
    <n v="72120"/>
    <n v="71696"/>
    <n v="195"/>
    <x v="1"/>
    <s v="CybertruckLaunch"/>
    <n v="16.200083194675539"/>
    <n v="5900"/>
  </r>
  <r>
    <s v="YouTube"/>
    <d v="2024-09-02T00:00:00"/>
    <s v="Image"/>
    <s v="Check out our latest image on youtube!"/>
    <n v="4905"/>
    <n v="845"/>
    <n v="129"/>
    <n v="98100"/>
    <n v="97772"/>
    <n v="279"/>
    <x v="0"/>
    <s v="ModelYCampaign"/>
    <n v="11.909785932721713"/>
    <n v="5879"/>
  </r>
  <r>
    <s v="YouTube"/>
    <d v="2025-04-17T00:00:00"/>
    <s v="Carousel"/>
    <s v="Check out our latest carousel on youtube!"/>
    <n v="4780"/>
    <n v="691"/>
    <n v="380"/>
    <n v="86040"/>
    <n v="85743"/>
    <n v="262"/>
    <x v="3"/>
    <s v="FSDUpdate"/>
    <n v="13.579149232914924"/>
    <n v="5851"/>
  </r>
  <r>
    <s v="Instagram"/>
    <d v="2024-07-03T00:00:00"/>
    <s v="Carousel"/>
    <s v="Check out our latest carousel on instagram!"/>
    <n v="4799"/>
    <n v="694"/>
    <n v="289"/>
    <n v="43191"/>
    <n v="42228"/>
    <n v="118"/>
    <x v="0"/>
    <s v="Not available"/>
    <n v="27.050774466902826"/>
    <n v="5782"/>
  </r>
  <r>
    <s v="Facebook"/>
    <d v="2024-12-03T00:00:00"/>
    <s v="Image"/>
    <s v="Check out our latest image on facebook!"/>
    <n v="4606"/>
    <n v="931"/>
    <n v="230"/>
    <n v="92120"/>
    <n v="91440"/>
    <n v="56"/>
    <x v="0"/>
    <s v="Not available"/>
    <n v="12.682913590968303"/>
    <n v="5767"/>
  </r>
  <r>
    <s v="YouTube"/>
    <d v="2024-06-21T00:00:00"/>
    <s v="Image"/>
    <s v="Check out our latest image on youtube!"/>
    <n v="4832"/>
    <n v="893"/>
    <n v="10"/>
    <n v="91808"/>
    <n v="91296"/>
    <n v="182"/>
    <x v="0"/>
    <s v="Not available"/>
    <n v="12.726015162077379"/>
    <n v="5735"/>
  </r>
  <r>
    <s v="Instagram"/>
    <d v="2024-10-21T00:00:00"/>
    <s v="Reel"/>
    <s v="Check out our latest reel on instagram!"/>
    <n v="4840"/>
    <n v="658"/>
    <n v="211"/>
    <n v="43560"/>
    <n v="43225"/>
    <n v="57"/>
    <x v="3"/>
    <s v="FSDUpdate"/>
    <n v="26.821625344352618"/>
    <n v="5709"/>
  </r>
  <r>
    <s v="Instagram"/>
    <d v="2024-11-28T00:00:00"/>
    <s v="Text"/>
    <s v="Check out our latest text on instagram!"/>
    <n v="4771"/>
    <n v="818"/>
    <n v="56"/>
    <n v="57252"/>
    <n v="56378"/>
    <n v="150"/>
    <x v="3"/>
    <s v="Not available"/>
    <n v="20.407147348564241"/>
    <n v="5645"/>
  </r>
  <r>
    <s v="Facebook"/>
    <d v="2025-04-22T00:00:00"/>
    <s v="Image"/>
    <s v="Check out our latest image on facebook!"/>
    <n v="4804"/>
    <n v="550"/>
    <n v="270"/>
    <n v="28824"/>
    <n v="28370"/>
    <n v="47"/>
    <x v="1"/>
    <s v="SustainabilityDrive"/>
    <n v="40.53393005828476"/>
    <n v="5624"/>
  </r>
  <r>
    <s v="Instagram"/>
    <d v="2025-03-27T00:00:00"/>
    <s v="Text"/>
    <s v="Check out our latest text on instagram!"/>
    <n v="4941"/>
    <n v="414"/>
    <n v="266"/>
    <n v="39528"/>
    <n v="39154"/>
    <n v="217"/>
    <x v="0"/>
    <s v="FSDUpdate"/>
    <n v="29.557528840315726"/>
    <n v="5621"/>
  </r>
  <r>
    <s v="Instagram"/>
    <d v="2025-01-04T00:00:00"/>
    <s v="Reel"/>
    <s v="Check out our latest reel on instagram!"/>
    <n v="4838"/>
    <n v="640"/>
    <n v="128"/>
    <n v="72570"/>
    <n v="72396"/>
    <n v="83"/>
    <x v="3"/>
    <s v="SustainabilityDrive"/>
    <n v="16.099627945431997"/>
    <n v="5606"/>
  </r>
  <r>
    <s v="Twitter"/>
    <d v="2024-10-22T00:00:00"/>
    <s v="Reel"/>
    <s v="Check out our latest reel on twitter!"/>
    <n v="4782"/>
    <n v="721"/>
    <n v="82"/>
    <n v="86076"/>
    <n v="85339"/>
    <n v="19"/>
    <x v="1"/>
    <s v="CybertruckLaunch"/>
    <n v="13.573469956782379"/>
    <n v="5585"/>
  </r>
  <r>
    <s v="YouTube"/>
    <d v="2024-10-18T00:00:00"/>
    <s v="Video"/>
    <s v="Check out our latest video on youtube!"/>
    <n v="4450"/>
    <n v="983"/>
    <n v="143"/>
    <n v="75650"/>
    <n v="75008"/>
    <n v="12"/>
    <x v="3"/>
    <s v="FSDUpdate"/>
    <n v="15.44415069398546"/>
    <n v="5576"/>
  </r>
  <r>
    <s v="YouTube"/>
    <d v="2024-12-03T00:00:00"/>
    <s v="Story"/>
    <s v="Check out our latest story on youtube!"/>
    <n v="4285"/>
    <n v="886"/>
    <n v="376"/>
    <n v="55705"/>
    <n v="55556"/>
    <n v="51"/>
    <x v="3"/>
    <s v="FSDUpdate"/>
    <n v="20.973880262094966"/>
    <n v="5547"/>
  </r>
  <r>
    <s v="Twitter"/>
    <d v="2024-11-26T00:00:00"/>
    <s v="Text"/>
    <s v="Check out our latest text on twitter!"/>
    <n v="4516"/>
    <n v="836"/>
    <n v="169"/>
    <n v="49676"/>
    <n v="49257"/>
    <n v="282"/>
    <x v="1"/>
    <s v="SustainabilityDrive"/>
    <n v="23.519405749255174"/>
    <n v="5521"/>
  </r>
  <r>
    <s v="Twitter"/>
    <d v="2024-07-16T00:00:00"/>
    <s v="Text"/>
    <s v="Check out our latest text on twitter!"/>
    <n v="4725"/>
    <n v="400"/>
    <n v="362"/>
    <n v="75600"/>
    <n v="74927"/>
    <n v="43"/>
    <x v="3"/>
    <s v="SustainabilityDrive"/>
    <n v="15.454365079365079"/>
    <n v="5487"/>
  </r>
  <r>
    <s v="YouTube"/>
    <d v="2024-08-22T00:00:00"/>
    <s v="Carousel"/>
    <s v="Check out our latest carousel on youtube!"/>
    <n v="4295"/>
    <n v="853"/>
    <n v="325"/>
    <n v="85900"/>
    <n v="85788"/>
    <n v="290"/>
    <x v="0"/>
    <s v="SustainabilityDrive"/>
    <n v="13.60128055878929"/>
    <n v="5473"/>
  </r>
  <r>
    <s v="Facebook"/>
    <d v="2024-11-04T00:00:00"/>
    <s v="Image"/>
    <s v="Check out our latest image on facebook!"/>
    <n v="4551"/>
    <n v="714"/>
    <n v="207"/>
    <n v="68265"/>
    <n v="67754"/>
    <n v="57"/>
    <x v="3"/>
    <s v="FSDUpdate"/>
    <n v="17.114919797846628"/>
    <n v="5472"/>
  </r>
  <r>
    <s v="Facebook"/>
    <d v="2025-03-29T00:00:00"/>
    <s v="Carousel"/>
    <s v="Check out our latest carousel on facebook!"/>
    <n v="4712"/>
    <n v="568"/>
    <n v="127"/>
    <n v="84816"/>
    <n v="84691"/>
    <n v="100"/>
    <x v="1"/>
    <s v="FSDUpdate"/>
    <n v="13.775113186191284"/>
    <n v="5407"/>
  </r>
  <r>
    <s v="Instagram"/>
    <d v="2024-08-13T00:00:00"/>
    <s v="Image"/>
    <s v="Check out our latest image on instagram!"/>
    <n v="4739"/>
    <n v="527"/>
    <n v="135"/>
    <n v="61607"/>
    <n v="61333"/>
    <n v="36"/>
    <x v="0"/>
    <s v="ModelYCampaign"/>
    <n v="18.964565714934992"/>
    <n v="5401"/>
  </r>
  <r>
    <s v="Instagram"/>
    <d v="2024-08-13T00:00:00"/>
    <s v="Image"/>
    <s v="Check out our latest image on instagram!"/>
    <n v="4739"/>
    <n v="527"/>
    <n v="135"/>
    <n v="61607"/>
    <n v="61333"/>
    <n v="36"/>
    <x v="2"/>
    <s v="ModelYCampaign"/>
    <n v="18.964565714934992"/>
    <n v="5401"/>
  </r>
  <r>
    <s v="Facebook"/>
    <d v="2025-01-18T00:00:00"/>
    <s v="Story"/>
    <s v="Check out our latest story on facebook!"/>
    <n v="4321"/>
    <n v="874"/>
    <n v="172"/>
    <n v="30247"/>
    <n v="29254"/>
    <n v="122"/>
    <x v="0"/>
    <s v="SustainabilityDrive"/>
    <n v="38.626971269878005"/>
    <n v="5367"/>
  </r>
  <r>
    <s v="YouTube"/>
    <d v="2024-10-21T00:00:00"/>
    <s v="Video"/>
    <s v="Check out our latest video on youtube!"/>
    <n v="4275"/>
    <n v="680"/>
    <n v="385"/>
    <n v="64125"/>
    <n v="63650"/>
    <n v="104"/>
    <x v="1"/>
    <s v="SustainabilityDrive"/>
    <n v="18.219883040935674"/>
    <n v="5340"/>
  </r>
  <r>
    <s v="YouTube"/>
    <d v="2024-10-21T00:00:00"/>
    <s v="Video"/>
    <s v="Check out our latest video on youtube!"/>
    <n v="4275"/>
    <n v="680"/>
    <n v="385"/>
    <n v="64125"/>
    <n v="63650"/>
    <n v="104"/>
    <x v="0"/>
    <s v="SustainabilityDrive"/>
    <n v="18.219883040935674"/>
    <n v="5340"/>
  </r>
  <r>
    <s v="YouTube"/>
    <d v="2024-10-21T00:00:00"/>
    <s v="Video"/>
    <s v="Check out our latest video on youtube!"/>
    <n v="4275"/>
    <n v="680"/>
    <n v="385"/>
    <n v="64125"/>
    <n v="63650"/>
    <n v="104"/>
    <x v="2"/>
    <s v="SustainabilityDrive"/>
    <n v="18.219883040935674"/>
    <n v="5340"/>
  </r>
  <r>
    <s v="Instagram"/>
    <d v="2025-02-12T00:00:00"/>
    <s v="Story"/>
    <s v="Check out our latest story on instagram!"/>
    <n v="4332"/>
    <n v="771"/>
    <n v="219"/>
    <n v="60648"/>
    <n v="60397"/>
    <n v="10"/>
    <x v="0"/>
    <s v="FSDUpdate"/>
    <n v="19.264444004748714"/>
    <n v="5322"/>
  </r>
  <r>
    <s v="Instagram"/>
    <d v="2025-02-12T00:00:00"/>
    <s v="Story"/>
    <s v="Check out our latest story on instagram!"/>
    <n v="4332"/>
    <n v="771"/>
    <n v="219"/>
    <n v="60648"/>
    <n v="60397"/>
    <n v="10"/>
    <x v="1"/>
    <s v="FSDUpdate"/>
    <n v="19.264444004748714"/>
    <n v="5322"/>
  </r>
  <r>
    <s v="Instagram"/>
    <d v="2025-02-12T00:00:00"/>
    <s v="Story"/>
    <s v="Check out our latest story on instagram!"/>
    <n v="4332"/>
    <n v="771"/>
    <n v="219"/>
    <n v="60648"/>
    <n v="60397"/>
    <n v="10"/>
    <x v="4"/>
    <s v="FSDUpdate"/>
    <n v="19.264444004748714"/>
    <n v="5322"/>
  </r>
  <r>
    <s v="Twitter"/>
    <d v="2025-03-07T00:00:00"/>
    <s v="Image"/>
    <s v="Check out our latest image on twitter!"/>
    <n v="4750"/>
    <n v="151"/>
    <n v="415"/>
    <n v="38000"/>
    <n v="37792"/>
    <n v="299"/>
    <x v="1"/>
    <s v="SustainabilityDrive"/>
    <n v="30.746052631578948"/>
    <n v="5316"/>
  </r>
  <r>
    <s v="Twitter"/>
    <d v="2024-09-11T00:00:00"/>
    <s v="Image"/>
    <s v="Check out our latest image on twitter!"/>
    <n v="4858"/>
    <n v="317"/>
    <n v="129"/>
    <n v="53438"/>
    <n v="52687"/>
    <n v="223"/>
    <x v="1"/>
    <s v="FSDUpdate"/>
    <n v="21.863655076911559"/>
    <n v="5304"/>
  </r>
  <r>
    <s v="Facebook"/>
    <d v="2024-07-07T00:00:00"/>
    <s v="Reel"/>
    <s v="Check out our latest reel on facebook!"/>
    <n v="4767"/>
    <n v="190"/>
    <n v="340"/>
    <n v="28602"/>
    <n v="28044"/>
    <n v="210"/>
    <x v="1"/>
    <s v="FSDUpdate"/>
    <n v="40.848542059995808"/>
    <n v="5297"/>
  </r>
  <r>
    <s v="Twitter"/>
    <d v="2025-03-25T00:00:00"/>
    <s v="Video"/>
    <s v="Check out our latest video on twitter!"/>
    <n v="4050"/>
    <n v="871"/>
    <n v="347"/>
    <n v="52650"/>
    <n v="51755"/>
    <n v="209"/>
    <x v="0"/>
    <s v="ModelYCampaign"/>
    <n v="22.190883190883191"/>
    <n v="5268"/>
  </r>
  <r>
    <s v="Twitter"/>
    <d v="2024-08-31T00:00:00"/>
    <s v="Carousel"/>
    <s v="Check out our latest carousel on twitter!"/>
    <n v="4494"/>
    <n v="717"/>
    <n v="45"/>
    <n v="62916"/>
    <n v="62688"/>
    <n v="191"/>
    <x v="0"/>
    <s v="CybertruckLaunch"/>
    <n v="18.569998092695023"/>
    <n v="5256"/>
  </r>
  <r>
    <s v="Twitter"/>
    <d v="2024-08-31T00:00:00"/>
    <s v="Carousel"/>
    <s v="Check out our latest carousel on twitter!"/>
    <n v="4494"/>
    <n v="717"/>
    <n v="45"/>
    <n v="62916"/>
    <n v="62688"/>
    <n v="191"/>
    <x v="1"/>
    <s v="CybertruckLaunch"/>
    <n v="18.569998092695023"/>
    <n v="5256"/>
  </r>
  <r>
    <s v="Twitter"/>
    <d v="2024-08-31T00:00:00"/>
    <s v="Carousel"/>
    <s v="Check out our latest carousel on twitter!"/>
    <n v="4494"/>
    <n v="717"/>
    <n v="45"/>
    <n v="62916"/>
    <n v="62688"/>
    <n v="191"/>
    <x v="4"/>
    <s v="CybertruckLaunch"/>
    <n v="18.569998092695023"/>
    <n v="5256"/>
  </r>
  <r>
    <s v="YouTube"/>
    <d v="2025-02-24T00:00:00"/>
    <s v="Text"/>
    <s v="Check out our latest text on youtube!"/>
    <n v="4188"/>
    <n v="942"/>
    <n v="118"/>
    <n v="20940"/>
    <n v="20471"/>
    <n v="102"/>
    <x v="3"/>
    <s v="Not available"/>
    <n v="55.795128939828082"/>
    <n v="5248"/>
  </r>
  <r>
    <s v="Facebook"/>
    <d v="2025-04-06T00:00:00"/>
    <s v="Image"/>
    <s v="Check out our latest image on facebook!"/>
    <n v="4236"/>
    <n v="711"/>
    <n v="298"/>
    <n v="21180"/>
    <n v="20516"/>
    <n v="238"/>
    <x v="3"/>
    <s v="CybertruckLaunch"/>
    <n v="55.1628895184136"/>
    <n v="5245"/>
  </r>
  <r>
    <s v="Facebook"/>
    <d v="2024-07-31T00:00:00"/>
    <s v="Image"/>
    <s v="Check out our latest image on facebook!"/>
    <n v="4689"/>
    <n v="134"/>
    <n v="403"/>
    <n v="51579"/>
    <n v="50924"/>
    <n v="173"/>
    <x v="0"/>
    <s v="SustainabilityDrive"/>
    <n v="22.65166055953004"/>
    <n v="5226"/>
  </r>
  <r>
    <s v="Instagram"/>
    <d v="2025-04-08T00:00:00"/>
    <s v="Image"/>
    <s v="Check out our latest image on instagram!"/>
    <n v="4501"/>
    <n v="375"/>
    <n v="323"/>
    <n v="22505"/>
    <n v="21836"/>
    <n v="132"/>
    <x v="0"/>
    <s v="ModelYCampaign"/>
    <n v="51.91512997111753"/>
    <n v="5199"/>
  </r>
  <r>
    <s v="Facebook"/>
    <d v="2025-03-11T00:00:00"/>
    <s v="Image"/>
    <s v="Check out our latest image on facebook!"/>
    <n v="4241"/>
    <n v="902"/>
    <n v="47"/>
    <n v="72097"/>
    <n v="71598"/>
    <n v="167"/>
    <x v="0"/>
    <s v="ModelYCampaign"/>
    <n v="16.205251258720889"/>
    <n v="5190"/>
  </r>
  <r>
    <s v="Instagram"/>
    <d v="2025-04-19T00:00:00"/>
    <s v="Story"/>
    <s v="Check out our latest story on instagram!"/>
    <n v="4518"/>
    <n v="285"/>
    <n v="383"/>
    <n v="67770"/>
    <n v="67621"/>
    <n v="31"/>
    <x v="1"/>
    <s v="ModelYCampaign"/>
    <n v="17.239929172200089"/>
    <n v="5186"/>
  </r>
  <r>
    <s v="Facebook"/>
    <d v="2024-06-19T00:00:00"/>
    <s v="Carousel"/>
    <s v="Check out our latest carousel on facebook!"/>
    <n v="4731"/>
    <n v="173"/>
    <n v="276"/>
    <n v="28386"/>
    <n v="28185"/>
    <n v="89"/>
    <x v="1"/>
    <s v="FSDUpdate"/>
    <n v="41.159374339463113"/>
    <n v="5180"/>
  </r>
  <r>
    <s v="Twitter"/>
    <d v="2024-11-14T00:00:00"/>
    <s v="Story"/>
    <s v="Check out our latest story on twitter!"/>
    <n v="4000"/>
    <n v="689"/>
    <n v="488"/>
    <n v="40000"/>
    <n v="39569"/>
    <n v="44"/>
    <x v="3"/>
    <s v="CybertruckLaunch"/>
    <n v="29.208749999999998"/>
    <n v="5177"/>
  </r>
  <r>
    <s v="Twitter"/>
    <d v="2024-10-21T00:00:00"/>
    <s v="Story"/>
    <s v="Check out our latest story on twitter!"/>
    <n v="3801"/>
    <n v="967"/>
    <n v="401"/>
    <n v="38010"/>
    <n v="37625"/>
    <n v="236"/>
    <x v="3"/>
    <s v="FSDUpdate"/>
    <n v="30.737963693764797"/>
    <n v="5169"/>
  </r>
  <r>
    <s v="YouTube"/>
    <d v="2024-07-23T00:00:00"/>
    <s v="Story"/>
    <s v="Check out our latest story on youtube!"/>
    <n v="4775"/>
    <n v="173"/>
    <n v="206"/>
    <n v="47750"/>
    <n v="47544"/>
    <n v="187"/>
    <x v="3"/>
    <s v="ModelYCampaign"/>
    <n v="24.468062827225133"/>
    <n v="5154"/>
  </r>
  <r>
    <s v="Instagram"/>
    <d v="2024-06-14T00:00:00"/>
    <s v="Story"/>
    <s v="Check out our latest story on instagram!"/>
    <n v="4363"/>
    <n v="649"/>
    <n v="140"/>
    <n v="21815"/>
    <n v="21481"/>
    <n v="157"/>
    <x v="1"/>
    <s v="CybertruckLaunch"/>
    <n v="53.55718542287417"/>
    <n v="5152"/>
  </r>
  <r>
    <s v="YouTube"/>
    <d v="2024-10-02T00:00:00"/>
    <s v="Story"/>
    <s v="Check out our latest story on youtube!"/>
    <n v="4350"/>
    <n v="771"/>
    <n v="7"/>
    <n v="60900"/>
    <n v="60592"/>
    <n v="195"/>
    <x v="1"/>
    <s v="CybertruckLaunch"/>
    <n v="19.184729064039409"/>
    <n v="5128"/>
  </r>
  <r>
    <s v="Facebook"/>
    <d v="2024-11-25T00:00:00"/>
    <s v="Story"/>
    <s v="Check out our latest story on facebook!"/>
    <n v="4182"/>
    <n v="640"/>
    <n v="240"/>
    <n v="50184"/>
    <n v="49351"/>
    <n v="10"/>
    <x v="0"/>
    <s v="FSDUpdate"/>
    <n v="23.281324725011956"/>
    <n v="5062"/>
  </r>
  <r>
    <s v="Facebook"/>
    <d v="2025-01-12T00:00:00"/>
    <s v="Reel"/>
    <s v="Check out our latest reel on facebook!"/>
    <n v="4134"/>
    <n v="824"/>
    <n v="99"/>
    <n v="41340"/>
    <n v="41050"/>
    <n v="177"/>
    <x v="1"/>
    <s v="CybertruckLaunch"/>
    <n v="28.261973875181422"/>
    <n v="5057"/>
  </r>
  <r>
    <s v="Instagram"/>
    <d v="2024-11-05T00:00:00"/>
    <s v="Video"/>
    <s v="Check out our latest video on instagram!"/>
    <n v="4561"/>
    <n v="51"/>
    <n v="441"/>
    <n v="22805"/>
    <n v="21890"/>
    <n v="45"/>
    <x v="0"/>
    <s v="ModelYCampaign"/>
    <n v="51.232185924139444"/>
    <n v="5053"/>
  </r>
  <r>
    <s v="Facebook"/>
    <d v="2024-10-24T00:00:00"/>
    <s v="Image"/>
    <s v="Check out our latest image on facebook!"/>
    <n v="4303"/>
    <n v="451"/>
    <n v="286"/>
    <n v="86060"/>
    <n v="85823"/>
    <n v="14"/>
    <x v="0"/>
    <s v="FSDUpdate"/>
    <n v="13.575993492911921"/>
    <n v="5040"/>
  </r>
  <r>
    <s v="Facebook"/>
    <d v="2024-10-18T00:00:00"/>
    <s v="Story"/>
    <s v="Check out our latest story on facebook!"/>
    <n v="4126"/>
    <n v="426"/>
    <n v="486"/>
    <n v="78394"/>
    <n v="77798"/>
    <n v="88"/>
    <x v="3"/>
    <s v="SustainabilityDrive"/>
    <n v="14.903564048269001"/>
    <n v="5038"/>
  </r>
  <r>
    <s v="Facebook"/>
    <d v="2024-11-06T00:00:00"/>
    <s v="Video"/>
    <s v="Check out our latest video on facebook!"/>
    <n v="4663"/>
    <n v="145"/>
    <n v="225"/>
    <n v="69945"/>
    <n v="69596"/>
    <n v="35"/>
    <x v="1"/>
    <s v="SustainabilityDrive"/>
    <n v="16.703838730431052"/>
    <n v="5033"/>
  </r>
  <r>
    <s v="Twitter"/>
    <d v="2024-06-20T00:00:00"/>
    <s v="Carousel"/>
    <s v="Check out our latest carousel on twitter!"/>
    <n v="4672"/>
    <n v="325"/>
    <n v="32"/>
    <n v="88768"/>
    <n v="87833"/>
    <n v="118"/>
    <x v="1"/>
    <s v="Not available"/>
    <n v="13.161837599134824"/>
    <n v="5029"/>
  </r>
  <r>
    <s v="Twitter"/>
    <d v="2024-10-02T00:00:00"/>
    <s v="Carousel"/>
    <s v="Check out our latest carousel on twitter!"/>
    <n v="4419"/>
    <n v="236"/>
    <n v="369"/>
    <n v="44190"/>
    <n v="43582"/>
    <n v="10"/>
    <x v="1"/>
    <s v="CybertruckLaunch"/>
    <n v="26.439239646978955"/>
    <n v="5024"/>
  </r>
  <r>
    <s v="Facebook"/>
    <d v="2025-05-05T00:00:00"/>
    <s v="Text"/>
    <s v="Check out our latest text on facebook!"/>
    <n v="4441"/>
    <n v="511"/>
    <n v="70"/>
    <n v="53292"/>
    <n v="53082"/>
    <n v="159"/>
    <x v="1"/>
    <s v="SustainabilityDrive"/>
    <n v="21.923553253771672"/>
    <n v="5022"/>
  </r>
  <r>
    <s v="Facebook"/>
    <d v="2024-06-22T00:00:00"/>
    <s v="Reel"/>
    <s v="Check out our latest reel on facebook!"/>
    <n v="3813"/>
    <n v="935"/>
    <n v="274"/>
    <n v="68634"/>
    <n v="68488"/>
    <n v="251"/>
    <x v="3"/>
    <s v="Not available"/>
    <n v="17.022904100008741"/>
    <n v="5022"/>
  </r>
  <r>
    <s v="Instagram"/>
    <d v="2025-04-13T00:00:00"/>
    <s v="Reel"/>
    <s v="Check out our latest reel on instagram!"/>
    <n v="4579"/>
    <n v="125"/>
    <n v="300"/>
    <n v="59527"/>
    <n v="59400"/>
    <n v="269"/>
    <x v="1"/>
    <s v="CybertruckLaunch"/>
    <n v="19.627227980580241"/>
    <n v="5004"/>
  </r>
  <r>
    <s v="Facebook"/>
    <d v="2024-08-30T00:00:00"/>
    <s v="Text"/>
    <s v="Check out our latest text on facebook!"/>
    <n v="3784"/>
    <n v="808"/>
    <n v="404"/>
    <n v="56760"/>
    <n v="56343"/>
    <n v="131"/>
    <x v="0"/>
    <s v="ModelYCampaign"/>
    <n v="20.584038054968289"/>
    <n v="4996"/>
  </r>
  <r>
    <s v="Facebook"/>
    <d v="2025-03-23T00:00:00"/>
    <s v="Video"/>
    <s v="Check out our latest video on facebook!"/>
    <n v="4453"/>
    <n v="111"/>
    <n v="420"/>
    <n v="31171"/>
    <n v="30565"/>
    <n v="23"/>
    <x v="0"/>
    <s v="Not available"/>
    <n v="37.481954380674345"/>
    <n v="4984"/>
  </r>
  <r>
    <s v="Twitter"/>
    <d v="2025-04-03T00:00:00"/>
    <s v="Text"/>
    <s v="Check out our latest text on twitter!"/>
    <n v="4054"/>
    <n v="389"/>
    <n v="493"/>
    <n v="64864"/>
    <n v="64383"/>
    <n v="117"/>
    <x v="0"/>
    <s v="ModelYCampaign"/>
    <n v="18.01230266403552"/>
    <n v="4936"/>
  </r>
  <r>
    <s v="Twitter"/>
    <d v="2025-04-03T00:00:00"/>
    <s v="Text"/>
    <s v="Check out our latest text on twitter!"/>
    <n v="4054"/>
    <n v="389"/>
    <n v="493"/>
    <n v="64864"/>
    <n v="64383"/>
    <n v="117"/>
    <x v="4"/>
    <s v="ModelYCampaign"/>
    <n v="18.01230266403552"/>
    <n v="4936"/>
  </r>
  <r>
    <s v="Facebook"/>
    <d v="2025-02-16T00:00:00"/>
    <s v="Story"/>
    <s v="Check out our latest story on facebook!"/>
    <n v="4242"/>
    <n v="555"/>
    <n v="131"/>
    <n v="33936"/>
    <n v="33802"/>
    <n v="265"/>
    <x v="3"/>
    <s v="Not available"/>
    <n v="34.428041018387553"/>
    <n v="4928"/>
  </r>
  <r>
    <s v="Instagram"/>
    <d v="2025-04-15T00:00:00"/>
    <s v="Video"/>
    <s v="Check out our latest video on instagram!"/>
    <n v="4133"/>
    <n v="466"/>
    <n v="327"/>
    <n v="24798"/>
    <n v="24620"/>
    <n v="176"/>
    <x v="1"/>
    <s v="SustainabilityDrive"/>
    <n v="47.114686668279703"/>
    <n v="4926"/>
  </r>
  <r>
    <s v="Instagram"/>
    <d v="2024-06-03T00:00:00"/>
    <s v="Image"/>
    <s v="Check out our latest image on instagram!"/>
    <n v="3861"/>
    <n v="960"/>
    <n v="101"/>
    <n v="69498"/>
    <n v="68817"/>
    <n v="297"/>
    <x v="0"/>
    <s v="SustainabilityDrive"/>
    <n v="16.811275144608476"/>
    <n v="4922"/>
  </r>
  <r>
    <s v="Instagram"/>
    <d v="2024-09-09T00:00:00"/>
    <s v="Carousel"/>
    <s v="Check out our latest carousel on instagram!"/>
    <n v="4054"/>
    <n v="488"/>
    <n v="373"/>
    <n v="77026"/>
    <n v="76881"/>
    <n v="25"/>
    <x v="0"/>
    <s v="CybertruckLaunch"/>
    <n v="15.168254874977281"/>
    <n v="4915"/>
  </r>
  <r>
    <s v="Facebook"/>
    <d v="2024-11-28T00:00:00"/>
    <s v="Text"/>
    <s v="Check out our latest text on facebook!"/>
    <n v="4213"/>
    <n v="253"/>
    <n v="434"/>
    <n v="75834"/>
    <n v="75437"/>
    <n v="272"/>
    <x v="3"/>
    <s v="SustainabilityDrive"/>
    <n v="15.406677743492365"/>
    <n v="4900"/>
  </r>
  <r>
    <s v="Twitter"/>
    <d v="2024-12-29T00:00:00"/>
    <s v="Carousel"/>
    <s v="Check out our latest carousel on twitter!"/>
    <n v="4274"/>
    <n v="340"/>
    <n v="281"/>
    <n v="34192"/>
    <n v="33446"/>
    <n v="129"/>
    <x v="0"/>
    <s v="FSDUpdate"/>
    <n v="34.170273748245201"/>
    <n v="4895"/>
  </r>
  <r>
    <s v="Twitter"/>
    <d v="2024-12-29T00:00:00"/>
    <s v="Carousel"/>
    <s v="Check out our latest carousel on twitter!"/>
    <n v="4274"/>
    <n v="340"/>
    <n v="281"/>
    <n v="34192"/>
    <n v="33446"/>
    <n v="129"/>
    <x v="5"/>
    <s v="FSDUpdate"/>
    <n v="34.170273748245201"/>
    <n v="4895"/>
  </r>
  <r>
    <s v="Twitter"/>
    <d v="2024-09-08T00:00:00"/>
    <s v="Carousel"/>
    <s v="Check out our latest carousel on twitter!"/>
    <n v="3811"/>
    <n v="866"/>
    <n v="216"/>
    <n v="34299"/>
    <n v="34088"/>
    <n v="233"/>
    <x v="0"/>
    <s v="SustainabilityDrive"/>
    <n v="34.063675325811246"/>
    <n v="4893"/>
  </r>
  <r>
    <s v="YouTube"/>
    <d v="2024-07-18T00:00:00"/>
    <s v="Text"/>
    <s v="Check out our latest text on youtube!"/>
    <n v="4021"/>
    <n v="794"/>
    <n v="77"/>
    <n v="36189"/>
    <n v="35505"/>
    <n v="174"/>
    <x v="1"/>
    <s v="Not available"/>
    <n v="32.284672137942472"/>
    <n v="4892"/>
  </r>
  <r>
    <s v="Twitter"/>
    <d v="2025-03-06T00:00:00"/>
    <s v="Image"/>
    <s v="Check out our latest image on twitter!"/>
    <n v="3592"/>
    <n v="911"/>
    <n v="375"/>
    <n v="50288"/>
    <n v="49490"/>
    <n v="32"/>
    <x v="3"/>
    <s v="SustainabilityDrive"/>
    <n v="23.233176901049951"/>
    <n v="4878"/>
  </r>
  <r>
    <s v="Facebook"/>
    <d v="2024-07-15T00:00:00"/>
    <s v="Carousel"/>
    <s v="Check out our latest carousel on facebook!"/>
    <n v="3796"/>
    <n v="667"/>
    <n v="395"/>
    <n v="64532"/>
    <n v="63550"/>
    <n v="292"/>
    <x v="0"/>
    <s v="Not available"/>
    <n v="18.104971177090437"/>
    <n v="4858"/>
  </r>
  <r>
    <s v="Facebook"/>
    <d v="2025-01-23T00:00:00"/>
    <s v="Video"/>
    <s v="Check out our latest video on facebook!"/>
    <n v="3961"/>
    <n v="761"/>
    <n v="131"/>
    <n v="67337"/>
    <n v="66615"/>
    <n v="161"/>
    <x v="3"/>
    <s v="FSDUpdate"/>
    <n v="17.350787828385585"/>
    <n v="4853"/>
  </r>
  <r>
    <s v="Instagram"/>
    <d v="2024-10-22T00:00:00"/>
    <s v="Story"/>
    <s v="Check out our latest story on instagram!"/>
    <n v="3770"/>
    <n v="917"/>
    <n v="129"/>
    <n v="71630"/>
    <n v="71322"/>
    <n v="76"/>
    <x v="3"/>
    <s v="CybertruckLaunch"/>
    <n v="16.310903252827028"/>
    <n v="4816"/>
  </r>
  <r>
    <s v="YouTube"/>
    <d v="2024-07-02T00:00:00"/>
    <s v="Carousel"/>
    <s v="Check out our latest carousel on youtube!"/>
    <n v="4171"/>
    <n v="548"/>
    <n v="86"/>
    <n v="66736"/>
    <n v="66634"/>
    <n v="173"/>
    <x v="3"/>
    <s v="FSDUpdate"/>
    <n v="17.50704267561736"/>
    <n v="4805"/>
  </r>
  <r>
    <s v="Instagram"/>
    <d v="2025-04-19T00:00:00"/>
    <s v="Image"/>
    <s v="Check out our latest image on instagram!"/>
    <n v="4177"/>
    <n v="569"/>
    <n v="55"/>
    <n v="25062"/>
    <n v="24847"/>
    <n v="230"/>
    <x v="3"/>
    <s v="CybertruckLaunch"/>
    <n v="46.618386401723725"/>
    <n v="4801"/>
  </r>
  <r>
    <s v="Twitter"/>
    <d v="2025-04-24T00:00:00"/>
    <s v="Video"/>
    <s v="Check out our latest video on twitter!"/>
    <n v="3820"/>
    <n v="697"/>
    <n v="268"/>
    <n v="45840"/>
    <n v="45631"/>
    <n v="171"/>
    <x v="0"/>
    <s v="SustainabilityDrive"/>
    <n v="25.487565445026178"/>
    <n v="4785"/>
  </r>
  <r>
    <s v="Twitter"/>
    <d v="2025-04-24T00:00:00"/>
    <s v="Video"/>
    <s v="Check out our latest video on twitter!"/>
    <n v="3820"/>
    <n v="697"/>
    <n v="268"/>
    <n v="45840"/>
    <n v="45631"/>
    <n v="171"/>
    <x v="5"/>
    <s v="SustainabilityDrive"/>
    <n v="25.487565445026178"/>
    <n v="4785"/>
  </r>
  <r>
    <s v="YouTube"/>
    <d v="2025-03-03T00:00:00"/>
    <s v="Video"/>
    <s v="Check out our latest video on youtube!"/>
    <n v="3874"/>
    <n v="884"/>
    <n v="19"/>
    <n v="38740"/>
    <n v="38552"/>
    <n v="219"/>
    <x v="0"/>
    <s v="ModelYCampaign"/>
    <n v="30.158750645327828"/>
    <n v="4777"/>
  </r>
  <r>
    <s v="Facebook"/>
    <d v="2024-10-22T00:00:00"/>
    <s v="Carousel"/>
    <s v="Check out our latest carousel on facebook!"/>
    <n v="3352"/>
    <n v="941"/>
    <n v="482"/>
    <n v="43576"/>
    <n v="43338"/>
    <n v="240"/>
    <x v="3"/>
    <s v="ModelYCampaign"/>
    <n v="26.81177712502295"/>
    <n v="4775"/>
  </r>
  <r>
    <s v="Instagram"/>
    <d v="2024-07-29T00:00:00"/>
    <s v="Reel"/>
    <s v="Check out our latest reel on instagram!"/>
    <n v="3523"/>
    <n v="753"/>
    <n v="482"/>
    <n v="38753"/>
    <n v="38579"/>
    <n v="270"/>
    <x v="1"/>
    <s v="ModelYCampaign"/>
    <n v="30.148633654168709"/>
    <n v="4758"/>
  </r>
  <r>
    <s v="Instagram"/>
    <d v="2025-01-11T00:00:00"/>
    <s v="Carousel"/>
    <s v="Check out our latest carousel on instagram!"/>
    <n v="4523"/>
    <n v="61"/>
    <n v="157"/>
    <n v="49753"/>
    <n v="49329"/>
    <n v="71"/>
    <x v="1"/>
    <s v="Not available"/>
    <n v="23.483006049886438"/>
    <n v="4741"/>
  </r>
  <r>
    <s v="Twitter"/>
    <d v="2024-07-31T00:00:00"/>
    <s v="Carousel"/>
    <s v="Check out our latest carousel on twitter!"/>
    <n v="4507"/>
    <n v="217"/>
    <n v="13"/>
    <n v="90140"/>
    <n v="89591"/>
    <n v="125"/>
    <x v="3"/>
    <s v="FSDUpdate"/>
    <n v="12.961504326603063"/>
    <n v="4737"/>
  </r>
  <r>
    <s v="Facebook"/>
    <d v="2024-08-24T00:00:00"/>
    <s v="Carousel"/>
    <s v="Check out our latest carousel on facebook!"/>
    <n v="4292"/>
    <n v="51"/>
    <n v="392"/>
    <n v="55796"/>
    <n v="54826"/>
    <n v="264"/>
    <x v="1"/>
    <s v="FSDUpdate"/>
    <n v="20.93967309484551"/>
    <n v="4735"/>
  </r>
  <r>
    <s v="YouTube"/>
    <d v="2024-06-26T00:00:00"/>
    <s v="Reel"/>
    <s v="Check out our latest reel on youtube!"/>
    <n v="3557"/>
    <n v="687"/>
    <n v="424"/>
    <n v="71140"/>
    <n v="70701"/>
    <n v="224"/>
    <x v="1"/>
    <s v="CybertruckLaunch"/>
    <n v="16.423249929716054"/>
    <n v="4668"/>
  </r>
  <r>
    <s v="YouTube"/>
    <d v="2024-06-26T00:00:00"/>
    <s v="Reel"/>
    <s v="Check out our latest reel on youtube!"/>
    <n v="3557"/>
    <n v="687"/>
    <n v="424"/>
    <n v="71140"/>
    <n v="70701"/>
    <n v="224"/>
    <x v="0"/>
    <s v="CybertruckLaunch"/>
    <n v="16.423249929716054"/>
    <n v="4668"/>
  </r>
  <r>
    <s v="Twitter"/>
    <d v="2025-04-28T00:00:00"/>
    <s v="Text"/>
    <s v="Check out our latest text on twitter!"/>
    <n v="3577"/>
    <n v="596"/>
    <n v="493"/>
    <n v="67963"/>
    <n v="67839"/>
    <n v="53"/>
    <x v="0"/>
    <s v="FSDUpdate"/>
    <n v="17.190971558053647"/>
    <n v="4666"/>
  </r>
  <r>
    <s v="Facebook"/>
    <d v="2024-10-24T00:00:00"/>
    <s v="Video"/>
    <s v="Check out our latest video on facebook!"/>
    <n v="3888"/>
    <n v="604"/>
    <n v="128"/>
    <n v="77760"/>
    <n v="77167"/>
    <n v="20"/>
    <x v="3"/>
    <s v="CybertruckLaunch"/>
    <n v="15.025077160493828"/>
    <n v="4620"/>
  </r>
  <r>
    <s v="Twitter"/>
    <d v="2024-08-03T00:00:00"/>
    <s v="Reel"/>
    <s v="Check out our latest reel on twitter!"/>
    <n v="3791"/>
    <n v="593"/>
    <n v="228"/>
    <n v="53074"/>
    <n v="52613"/>
    <n v="205"/>
    <x v="1"/>
    <s v="Not available"/>
    <n v="22.013603647737121"/>
    <n v="4612"/>
  </r>
  <r>
    <s v="Instagram"/>
    <d v="2025-03-28T00:00:00"/>
    <s v="Carousel"/>
    <s v="Check out our latest carousel on instagram!"/>
    <n v="4158"/>
    <n v="167"/>
    <n v="241"/>
    <n v="45738"/>
    <n v="45183"/>
    <n v="142"/>
    <x v="3"/>
    <s v="Not available"/>
    <n v="25.544405089859634"/>
    <n v="4566"/>
  </r>
  <r>
    <s v="Facebook"/>
    <d v="2025-01-27T00:00:00"/>
    <s v="Reel"/>
    <s v="Check out our latest reel on facebook!"/>
    <n v="3452"/>
    <n v="652"/>
    <n v="442"/>
    <n v="65588"/>
    <n v="65049"/>
    <n v="158"/>
    <x v="3"/>
    <s v="FSDUpdate"/>
    <n v="17.813471976581081"/>
    <n v="4546"/>
  </r>
  <r>
    <s v="Facebook"/>
    <d v="2025-04-03T00:00:00"/>
    <s v="Story"/>
    <s v="Check out our latest story on facebook!"/>
    <n v="3767"/>
    <n v="514"/>
    <n v="238"/>
    <n v="37670"/>
    <n v="36807"/>
    <n v="226"/>
    <x v="3"/>
    <s v="SustainabilityDrive"/>
    <n v="31.015396867533848"/>
    <n v="4519"/>
  </r>
  <r>
    <s v="Facebook"/>
    <d v="2024-12-22T00:00:00"/>
    <s v="Image"/>
    <s v="Check out our latest image on facebook!"/>
    <n v="3196"/>
    <n v="941"/>
    <n v="376"/>
    <n v="35156"/>
    <n v="34444"/>
    <n v="241"/>
    <x v="0"/>
    <s v="FSDUpdate"/>
    <n v="33.233302992376835"/>
    <n v="4513"/>
  </r>
  <r>
    <s v="YouTube"/>
    <d v="2025-03-23T00:00:00"/>
    <s v="Story"/>
    <s v="Check out our latest story on youtube!"/>
    <n v="3655"/>
    <n v="568"/>
    <n v="286"/>
    <n v="32895"/>
    <n v="32015"/>
    <n v="199"/>
    <x v="0"/>
    <s v="FSDUpdate"/>
    <n v="35.517555859553127"/>
    <n v="4509"/>
  </r>
  <r>
    <s v="YouTube"/>
    <d v="2024-07-13T00:00:00"/>
    <s v="Image"/>
    <s v="Check out our latest image on youtube!"/>
    <n v="3929"/>
    <n v="262"/>
    <n v="278"/>
    <n v="43219"/>
    <n v="42841"/>
    <n v="39"/>
    <x v="1"/>
    <s v="SustainabilityDrive"/>
    <n v="27.033249265369399"/>
    <n v="4469"/>
  </r>
  <r>
    <s v="Instagram"/>
    <d v="2024-07-11T00:00:00"/>
    <s v="Text"/>
    <s v="Check out our latest text on instagram!"/>
    <n v="3134"/>
    <n v="888"/>
    <n v="444"/>
    <n v="21938"/>
    <n v="21337"/>
    <n v="130"/>
    <x v="1"/>
    <s v="SustainabilityDrive"/>
    <n v="53.256905825508248"/>
    <n v="4466"/>
  </r>
  <r>
    <s v="Instagram"/>
    <d v="2024-10-17T00:00:00"/>
    <s v="Video"/>
    <s v="Check out our latest video on instagram!"/>
    <n v="3575"/>
    <n v="749"/>
    <n v="111"/>
    <n v="21450"/>
    <n v="20785"/>
    <n v="195"/>
    <x v="1"/>
    <s v="ModelYCampaign"/>
    <n v="54.468531468531467"/>
    <n v="4435"/>
  </r>
  <r>
    <s v="Instagram"/>
    <d v="2024-10-02T00:00:00"/>
    <s v="Text"/>
    <s v="Check out our latest text on instagram!"/>
    <n v="3432"/>
    <n v="869"/>
    <n v="123"/>
    <n v="54912"/>
    <n v="53916"/>
    <n v="264"/>
    <x v="1"/>
    <s v="ModelYCampaign"/>
    <n v="21.276770104895103"/>
    <n v="4424"/>
  </r>
  <r>
    <s v="Facebook"/>
    <d v="2025-04-07T00:00:00"/>
    <s v="Reel"/>
    <s v="Check out our latest reel on facebook!"/>
    <n v="3718"/>
    <n v="385"/>
    <n v="310"/>
    <n v="70642"/>
    <n v="69749"/>
    <n v="233"/>
    <x v="0"/>
    <s v="ModelYCampaign"/>
    <n v="16.539027773845589"/>
    <n v="4413"/>
  </r>
  <r>
    <s v="Twitter"/>
    <d v="2024-08-31T00:00:00"/>
    <s v="Image"/>
    <s v="Check out our latest image on twitter!"/>
    <n v="3170"/>
    <n v="857"/>
    <n v="379"/>
    <n v="19020"/>
    <n v="18559"/>
    <n v="240"/>
    <x v="3"/>
    <s v="Not available"/>
    <n v="61.427444794952685"/>
    <n v="4406"/>
  </r>
  <r>
    <s v="Facebook"/>
    <d v="2025-03-24T00:00:00"/>
    <s v="Reel"/>
    <s v="Check out our latest reel on facebook!"/>
    <n v="3360"/>
    <n v="525"/>
    <n v="500"/>
    <n v="60480"/>
    <n v="59610"/>
    <n v="192"/>
    <x v="0"/>
    <s v="CybertruckLaunch"/>
    <n v="19.317956349206348"/>
    <n v="4385"/>
  </r>
  <r>
    <s v="Twitter"/>
    <d v="2024-07-28T00:00:00"/>
    <s v="Image"/>
    <s v="Check out our latest image on twitter!"/>
    <n v="3215"/>
    <n v="960"/>
    <n v="202"/>
    <n v="32150"/>
    <n v="31404"/>
    <n v="251"/>
    <x v="1"/>
    <s v="CybertruckLaunch"/>
    <n v="36.34059097978227"/>
    <n v="4377"/>
  </r>
  <r>
    <s v="Instagram"/>
    <d v="2024-08-05T00:00:00"/>
    <s v="Story"/>
    <s v="Check out our latest story on instagram!"/>
    <n v="3601"/>
    <n v="695"/>
    <n v="75"/>
    <n v="21606"/>
    <n v="21454"/>
    <n v="172"/>
    <x v="1"/>
    <s v="ModelYCampaign"/>
    <n v="54.075256873090808"/>
    <n v="4371"/>
  </r>
  <r>
    <s v="Facebook"/>
    <d v="2024-11-25T00:00:00"/>
    <s v="Image"/>
    <s v="Check out our latest image on facebook!"/>
    <n v="3564"/>
    <n v="629"/>
    <n v="177"/>
    <n v="60588"/>
    <n v="59627"/>
    <n v="92"/>
    <x v="0"/>
    <s v="Not available"/>
    <n v="19.283521489403842"/>
    <n v="4370"/>
  </r>
  <r>
    <s v="YouTube"/>
    <d v="2024-12-03T00:00:00"/>
    <s v="Text"/>
    <s v="Check out our latest text on youtube!"/>
    <n v="3711"/>
    <n v="352"/>
    <n v="290"/>
    <n v="48243"/>
    <n v="47579"/>
    <n v="11"/>
    <x v="0"/>
    <s v="CybertruckLaunch"/>
    <n v="24.21802126733412"/>
    <n v="4353"/>
  </r>
  <r>
    <s v="YouTube"/>
    <d v="2025-03-18T00:00:00"/>
    <s v="Reel"/>
    <s v="Check out our latest reel on youtube!"/>
    <n v="3704"/>
    <n v="186"/>
    <n v="458"/>
    <n v="25928"/>
    <n v="25081"/>
    <n v="131"/>
    <x v="0"/>
    <s v="Not available"/>
    <n v="45.061323665535326"/>
    <n v="4348"/>
  </r>
  <r>
    <s v="Twitter"/>
    <d v="2024-06-24T00:00:00"/>
    <s v="Carousel"/>
    <s v="Check out our latest carousel on twitter!"/>
    <n v="3860"/>
    <n v="201"/>
    <n v="279"/>
    <n v="61760"/>
    <n v="61660"/>
    <n v="235"/>
    <x v="0"/>
    <s v="ModelYCampaign"/>
    <n v="18.917584196891191"/>
    <n v="4340"/>
  </r>
  <r>
    <s v="Facebook"/>
    <d v="2025-01-06T00:00:00"/>
    <s v="Carousel"/>
    <s v="Check out our latest carousel on facebook!"/>
    <n v="3024"/>
    <n v="925"/>
    <n v="350"/>
    <n v="24192"/>
    <n v="23518"/>
    <n v="36"/>
    <x v="1"/>
    <s v="ModelYCampaign"/>
    <n v="48.294890873015873"/>
    <n v="4299"/>
  </r>
  <r>
    <s v="Twitter"/>
    <d v="2024-10-04T00:00:00"/>
    <s v="Reel"/>
    <s v="Check out our latest reel on twitter!"/>
    <n v="4187"/>
    <n v="66"/>
    <n v="31"/>
    <n v="66992"/>
    <n v="66614"/>
    <n v="62"/>
    <x v="3"/>
    <s v="Not available"/>
    <n v="17.440142106520181"/>
    <n v="4284"/>
  </r>
  <r>
    <s v="YouTube"/>
    <d v="2024-12-03T00:00:00"/>
    <s v="Video"/>
    <s v="Check out our latest video on youtube!"/>
    <n v="3809"/>
    <n v="273"/>
    <n v="200"/>
    <n v="34281"/>
    <n v="33534"/>
    <n v="83"/>
    <x v="1"/>
    <s v="CybertruckLaunch"/>
    <n v="34.081561214667019"/>
    <n v="4282"/>
  </r>
  <r>
    <s v="Twitter"/>
    <d v="2024-08-08T00:00:00"/>
    <s v="Story"/>
    <s v="Check out our latest story on twitter!"/>
    <n v="3649"/>
    <n v="215"/>
    <n v="413"/>
    <n v="25543"/>
    <n v="24963"/>
    <n v="167"/>
    <x v="3"/>
    <s v="FSDUpdate"/>
    <n v="45.740515992639864"/>
    <n v="4277"/>
  </r>
  <r>
    <s v="Facebook"/>
    <d v="2024-08-27T00:00:00"/>
    <s v="Reel"/>
    <s v="Check out our latest reel on facebook!"/>
    <n v="3960"/>
    <n v="266"/>
    <n v="8"/>
    <n v="35640"/>
    <n v="34850"/>
    <n v="208"/>
    <x v="3"/>
    <s v="Not available"/>
    <n v="32.781986531986533"/>
    <n v="4234"/>
  </r>
  <r>
    <s v="Facebook"/>
    <d v="2024-08-27T00:00:00"/>
    <s v="Reel"/>
    <s v="Check out our latest reel on facebook!"/>
    <n v="3960"/>
    <n v="266"/>
    <n v="8"/>
    <n v="35640"/>
    <n v="34850"/>
    <n v="208"/>
    <x v="1"/>
    <s v="Not available"/>
    <n v="32.781986531986533"/>
    <n v="4234"/>
  </r>
  <r>
    <s v="Facebook"/>
    <d v="2024-08-27T00:00:00"/>
    <s v="Reel"/>
    <s v="Check out our latest reel on facebook!"/>
    <n v="3960"/>
    <n v="266"/>
    <n v="8"/>
    <n v="35640"/>
    <n v="34850"/>
    <n v="208"/>
    <x v="4"/>
    <s v="Not available"/>
    <n v="32.781986531986533"/>
    <n v="4234"/>
  </r>
  <r>
    <s v="Facebook"/>
    <d v="2024-10-31T00:00:00"/>
    <s v="Carousel"/>
    <s v="Check out our latest carousel on facebook!"/>
    <n v="2945"/>
    <n v="930"/>
    <n v="355"/>
    <n v="23560"/>
    <n v="23275"/>
    <n v="256"/>
    <x v="0"/>
    <s v="ModelYCampaign"/>
    <n v="49.590407470288625"/>
    <n v="4230"/>
  </r>
  <r>
    <s v="Facebook"/>
    <d v="2024-06-22T00:00:00"/>
    <s v="Text"/>
    <s v="Check out our latest text on facebook!"/>
    <n v="3828"/>
    <n v="148"/>
    <n v="253"/>
    <n v="30624"/>
    <n v="30229"/>
    <n v="235"/>
    <x v="1"/>
    <s v="Not available"/>
    <n v="38.151449843260188"/>
    <n v="4229"/>
  </r>
  <r>
    <s v="Facebook"/>
    <d v="2024-08-26T00:00:00"/>
    <s v="Text"/>
    <s v="Check out our latest text on facebook!"/>
    <n v="3452"/>
    <n v="377"/>
    <n v="360"/>
    <n v="55232"/>
    <n v="55075"/>
    <n v="87"/>
    <x v="3"/>
    <s v="FSDUpdate"/>
    <n v="21.153497972190035"/>
    <n v="4189"/>
  </r>
  <r>
    <s v="Twitter"/>
    <d v="2025-01-01T00:00:00"/>
    <s v="Carousel"/>
    <s v="Check out our latest carousel on twitter!"/>
    <n v="3535"/>
    <n v="494"/>
    <n v="152"/>
    <n v="53025"/>
    <n v="52791"/>
    <n v="44"/>
    <x v="0"/>
    <s v="SustainabilityDrive"/>
    <n v="22.033946251768032"/>
    <n v="4181"/>
  </r>
  <r>
    <s v="Facebook"/>
    <d v="2025-04-01T00:00:00"/>
    <s v="Story"/>
    <s v="Check out our latest story on facebook!"/>
    <n v="3430"/>
    <n v="566"/>
    <n v="164"/>
    <n v="48020"/>
    <n v="47305"/>
    <n v="120"/>
    <x v="3"/>
    <s v="Not available"/>
    <n v="24.3304872969596"/>
    <n v="4160"/>
  </r>
  <r>
    <s v="Instagram"/>
    <d v="2024-11-21T00:00:00"/>
    <s v="Carousel"/>
    <s v="Check out our latest carousel on instagram!"/>
    <n v="3773"/>
    <n v="299"/>
    <n v="38"/>
    <n v="71687"/>
    <n v="71447"/>
    <n v="286"/>
    <x v="3"/>
    <s v="CybertruckLaunch"/>
    <n v="16.297934074518391"/>
    <n v="4110"/>
  </r>
  <r>
    <s v="Facebook"/>
    <d v="2024-06-20T00:00:00"/>
    <s v="Video"/>
    <s v="Check out our latest video on facebook!"/>
    <n v="3798"/>
    <n v="31"/>
    <n v="279"/>
    <n v="75960"/>
    <n v="75813"/>
    <n v="266"/>
    <x v="0"/>
    <s v="CybertruckLaunch"/>
    <n v="15.381121642969985"/>
    <n v="4108"/>
  </r>
  <r>
    <s v="YouTube"/>
    <d v="2025-01-15T00:00:00"/>
    <s v="Reel"/>
    <s v="Check out our latest reel on youtube!"/>
    <n v="3774"/>
    <n v="239"/>
    <n v="39"/>
    <n v="60384"/>
    <n v="59490"/>
    <n v="241"/>
    <x v="0"/>
    <s v="FSDUpdate"/>
    <n v="19.348668521462638"/>
    <n v="4052"/>
  </r>
  <r>
    <s v="Facebook"/>
    <d v="2024-06-11T00:00:00"/>
    <s v="Image"/>
    <s v="Check out our latest image on facebook!"/>
    <n v="3689"/>
    <n v="48"/>
    <n v="306"/>
    <n v="40579"/>
    <n v="39588"/>
    <n v="212"/>
    <x v="1"/>
    <s v="ModelYCampaign"/>
    <n v="28.791986002612187"/>
    <n v="4043"/>
  </r>
  <r>
    <s v="Instagram"/>
    <d v="2024-11-30T00:00:00"/>
    <s v="Video"/>
    <s v="Check out our latest video on instagram!"/>
    <n v="3775"/>
    <n v="16"/>
    <n v="239"/>
    <n v="33975"/>
    <n v="33310"/>
    <n v="271"/>
    <x v="3"/>
    <s v="ModelYCampaign"/>
    <n v="34.388520971302427"/>
    <n v="4030"/>
  </r>
  <r>
    <s v="Twitter"/>
    <d v="2025-04-24T00:00:00"/>
    <s v="Reel"/>
    <s v="Check out our latest reel on twitter!"/>
    <n v="3731"/>
    <n v="115"/>
    <n v="135"/>
    <n v="55965"/>
    <n v="55436"/>
    <n v="103"/>
    <x v="0"/>
    <s v="CybertruckLaunch"/>
    <n v="20.876440632538195"/>
    <n v="3981"/>
  </r>
  <r>
    <s v="Instagram"/>
    <d v="2024-10-21T00:00:00"/>
    <s v="Reel"/>
    <s v="Check out our latest reel on instagram!"/>
    <n v="3256"/>
    <n v="459"/>
    <n v="266"/>
    <n v="26048"/>
    <n v="25529"/>
    <n v="143"/>
    <x v="0"/>
    <s v="ModelYCampaign"/>
    <n v="44.853731572481571"/>
    <n v="3981"/>
  </r>
  <r>
    <s v="YouTube"/>
    <d v="2024-06-05T00:00:00"/>
    <s v="Reel"/>
    <s v="Check out our latest reel on youtube!"/>
    <n v="3065"/>
    <n v="772"/>
    <n v="142"/>
    <n v="18390"/>
    <n v="17875"/>
    <n v="200"/>
    <x v="1"/>
    <s v="Not available"/>
    <n v="63.531810766721044"/>
    <n v="3979"/>
  </r>
  <r>
    <s v="YouTube"/>
    <d v="2024-06-05T00:00:00"/>
    <s v="Reel"/>
    <s v="Check out our latest reel on youtube!"/>
    <n v="3065"/>
    <n v="772"/>
    <n v="142"/>
    <n v="18390"/>
    <n v="17875"/>
    <n v="200"/>
    <x v="2"/>
    <s v="Not available"/>
    <n v="63.531810766721044"/>
    <n v="3979"/>
  </r>
  <r>
    <s v="Facebook"/>
    <d v="2024-07-15T00:00:00"/>
    <s v="Reel"/>
    <s v="Check out our latest reel on facebook!"/>
    <n v="3663"/>
    <n v="17"/>
    <n v="295"/>
    <n v="51282"/>
    <n v="50567"/>
    <n v="84"/>
    <x v="1"/>
    <s v="FSDUpdate"/>
    <n v="22.782847782847782"/>
    <n v="3975"/>
  </r>
  <r>
    <s v="Instagram"/>
    <d v="2024-07-10T00:00:00"/>
    <s v="Carousel"/>
    <s v="Check out our latest carousel on instagram!"/>
    <n v="3099"/>
    <n v="694"/>
    <n v="171"/>
    <n v="43386"/>
    <n v="42921"/>
    <n v="52"/>
    <x v="0"/>
    <s v="FSDUpdate"/>
    <n v="26.929193749135667"/>
    <n v="3964"/>
  </r>
  <r>
    <s v="YouTube"/>
    <d v="2024-09-25T00:00:00"/>
    <s v="Video"/>
    <s v="Check out our latest video on youtube!"/>
    <n v="3389"/>
    <n v="344"/>
    <n v="229"/>
    <n v="20334"/>
    <n v="19443"/>
    <n v="228"/>
    <x v="3"/>
    <s v="FSDUpdate"/>
    <n v="57.457952198288581"/>
    <n v="3962"/>
  </r>
  <r>
    <s v="Facebook"/>
    <d v="2025-04-06T00:00:00"/>
    <s v="Image"/>
    <s v="Check out our latest image on facebook!"/>
    <n v="3090"/>
    <n v="697"/>
    <n v="164"/>
    <n v="49440"/>
    <n v="48524"/>
    <n v="25"/>
    <x v="1"/>
    <s v="ModelYCampaign"/>
    <n v="23.631674757281555"/>
    <n v="3951"/>
  </r>
  <r>
    <s v="Facebook"/>
    <d v="2025-04-06T00:00:00"/>
    <s v="Image"/>
    <s v="Check out our latest image on facebook!"/>
    <n v="3090"/>
    <n v="697"/>
    <n v="164"/>
    <n v="49440"/>
    <n v="48524"/>
    <n v="25"/>
    <x v="1"/>
    <s v="ModelYCampaign"/>
    <n v="23.631674757281555"/>
    <n v="3951"/>
  </r>
  <r>
    <s v="Facebook"/>
    <d v="2025-04-06T00:00:00"/>
    <s v="Image"/>
    <s v="Check out our latest image on facebook!"/>
    <n v="3090"/>
    <n v="697"/>
    <n v="164"/>
    <n v="49440"/>
    <n v="48524"/>
    <n v="25"/>
    <x v="4"/>
    <s v="ModelYCampaign"/>
    <n v="23.631674757281555"/>
    <n v="3951"/>
  </r>
  <r>
    <s v="YouTube"/>
    <d v="2024-10-12T00:00:00"/>
    <s v="Story"/>
    <s v="Check out our latest story on youtube!"/>
    <n v="3641"/>
    <n v="226"/>
    <n v="46"/>
    <n v="40051"/>
    <n v="39319"/>
    <n v="296"/>
    <x v="1"/>
    <s v="SustainabilityDrive"/>
    <n v="29.171556265761154"/>
    <n v="3913"/>
  </r>
  <r>
    <s v="Instagram"/>
    <d v="2024-07-26T00:00:00"/>
    <s v="Image"/>
    <s v="Check out our latest image on instagram!"/>
    <n v="3559"/>
    <n v="59"/>
    <n v="289"/>
    <n v="35590"/>
    <n v="35105"/>
    <n v="122"/>
    <x v="1"/>
    <s v="CybertruckLaunch"/>
    <n v="32.828041584714811"/>
    <n v="3907"/>
  </r>
  <r>
    <s v="Instagram"/>
    <d v="2024-11-08T00:00:00"/>
    <s v="Text"/>
    <s v="Check out our latest text on instagram!"/>
    <n v="3182"/>
    <n v="559"/>
    <n v="160"/>
    <n v="57276"/>
    <n v="56890"/>
    <n v="163"/>
    <x v="3"/>
    <s v="SustainabilityDrive"/>
    <n v="20.398596270689293"/>
    <n v="3901"/>
  </r>
  <r>
    <s v="YouTube"/>
    <d v="2024-06-24T00:00:00"/>
    <s v="Video"/>
    <s v="Check out our latest video on youtube!"/>
    <n v="2949"/>
    <n v="476"/>
    <n v="403"/>
    <n v="44235"/>
    <n v="43705"/>
    <n v="135"/>
    <x v="0"/>
    <s v="ModelYCampaign"/>
    <n v="26.412343167175315"/>
    <n v="3828"/>
  </r>
  <r>
    <s v="YouTube"/>
    <d v="2025-01-27T00:00:00"/>
    <s v="Text"/>
    <s v="Check out our latest text on youtube!"/>
    <n v="3428"/>
    <n v="305"/>
    <n v="85"/>
    <n v="58276"/>
    <n v="58052"/>
    <n v="242"/>
    <x v="1"/>
    <s v="SustainabilityDrive"/>
    <n v="20.048562015237835"/>
    <n v="3818"/>
  </r>
  <r>
    <s v="YouTube"/>
    <d v="2025-01-27T00:00:00"/>
    <s v="Text"/>
    <s v="Check out our latest text on youtube!"/>
    <n v="3428"/>
    <n v="305"/>
    <n v="85"/>
    <n v="58276"/>
    <n v="58052"/>
    <n v="242"/>
    <x v="4"/>
    <s v="SustainabilityDrive"/>
    <n v="20.048562015237835"/>
    <n v="3818"/>
  </r>
  <r>
    <s v="Facebook"/>
    <d v="2024-12-18T00:00:00"/>
    <s v="Carousel"/>
    <s v="Check out our latest carousel on facebook!"/>
    <n v="2946"/>
    <n v="498"/>
    <n v="367"/>
    <n v="29460"/>
    <n v="28527"/>
    <n v="60"/>
    <x v="3"/>
    <s v="FSDUpdate"/>
    <n v="39.658859470468428"/>
    <n v="3811"/>
  </r>
  <r>
    <s v="Facebook"/>
    <d v="2024-11-01T00:00:00"/>
    <s v="Video"/>
    <s v="Check out our latest video on facebook!"/>
    <n v="3371"/>
    <n v="106"/>
    <n v="327"/>
    <n v="50565"/>
    <n v="49816"/>
    <n v="176"/>
    <x v="3"/>
    <s v="CybertruckLaunch"/>
    <n v="23.105903292791456"/>
    <n v="3804"/>
  </r>
  <r>
    <s v="Facebook"/>
    <d v="2024-08-14T00:00:00"/>
    <s v="Carousel"/>
    <s v="Check out our latest carousel on facebook!"/>
    <n v="3073"/>
    <n v="553"/>
    <n v="174"/>
    <n v="52241"/>
    <n v="51605"/>
    <n v="246"/>
    <x v="1"/>
    <s v="FSDUpdate"/>
    <n v="22.364617828908329"/>
    <n v="3800"/>
  </r>
  <r>
    <s v="YouTube"/>
    <d v="2025-04-05T00:00:00"/>
    <s v="Reel"/>
    <s v="Check out our latest reel on youtube!"/>
    <n v="3009"/>
    <n v="413"/>
    <n v="358"/>
    <n v="42126"/>
    <n v="41309"/>
    <n v="211"/>
    <x v="3"/>
    <s v="ModelYCampaign"/>
    <n v="27.73465318330722"/>
    <n v="3780"/>
  </r>
  <r>
    <s v="Facebook"/>
    <d v="2025-05-01T00:00:00"/>
    <s v="Carousel"/>
    <s v="Check out our latest carousel on facebook!"/>
    <n v="2696"/>
    <n v="628"/>
    <n v="443"/>
    <n v="45832"/>
    <n v="45632"/>
    <n v="248"/>
    <x v="1"/>
    <s v="SustainabilityDrive"/>
    <n v="25.492014313143656"/>
    <n v="3767"/>
  </r>
  <r>
    <s v="Twitter"/>
    <d v="2024-11-12T00:00:00"/>
    <s v="Image"/>
    <s v="Check out our latest image on twitter!"/>
    <n v="3338"/>
    <n v="277"/>
    <n v="118"/>
    <n v="60084"/>
    <n v="59842"/>
    <n v="252"/>
    <x v="0"/>
    <s v="Not available"/>
    <n v="19.445276612742163"/>
    <n v="3733"/>
  </r>
  <r>
    <s v="Twitter"/>
    <d v="2025-05-09T00:00:00"/>
    <s v="Reel"/>
    <s v="Check out our latest reel on twitter!"/>
    <n v="3367"/>
    <n v="302"/>
    <n v="57"/>
    <n v="63973"/>
    <n v="63789"/>
    <n v="157"/>
    <x v="3"/>
    <s v="ModelYCampaign"/>
    <n v="18.263173526331421"/>
    <n v="3726"/>
  </r>
  <r>
    <s v="Instagram"/>
    <d v="2024-08-19T00:00:00"/>
    <s v="Reel"/>
    <s v="Check out our latest reel on instagram!"/>
    <n v="3000"/>
    <n v="382"/>
    <n v="325"/>
    <n v="36000"/>
    <n v="35819"/>
    <n v="19"/>
    <x v="3"/>
    <s v="CybertruckLaunch"/>
    <n v="32.454166666666666"/>
    <n v="3707"/>
  </r>
  <r>
    <s v="YouTube"/>
    <d v="2024-09-02T00:00:00"/>
    <s v="Carousel"/>
    <s v="Check out our latest carousel on youtube!"/>
    <n v="2551"/>
    <n v="915"/>
    <n v="205"/>
    <n v="30612"/>
    <n v="30360"/>
    <n v="227"/>
    <x v="0"/>
    <s v="ModelYCampaign"/>
    <n v="38.16640533124265"/>
    <n v="3671"/>
  </r>
  <r>
    <s v="Twitter"/>
    <d v="2025-03-19T00:00:00"/>
    <s v="Video"/>
    <s v="Check out our latest video on twitter!"/>
    <n v="3160"/>
    <n v="204"/>
    <n v="297"/>
    <n v="44240"/>
    <n v="43666"/>
    <n v="49"/>
    <x v="3"/>
    <s v="SustainabilityDrive"/>
    <n v="26.409358047016276"/>
    <n v="3661"/>
  </r>
  <r>
    <s v="Twitter"/>
    <d v="2025-03-19T00:00:00"/>
    <s v="Video"/>
    <s v="Check out our latest video on twitter!"/>
    <n v="3160"/>
    <n v="204"/>
    <n v="297"/>
    <n v="44240"/>
    <n v="43666"/>
    <n v="49"/>
    <x v="2"/>
    <s v="SustainabilityDrive"/>
    <n v="26.409358047016276"/>
    <n v="3661"/>
  </r>
  <r>
    <s v="Twitter"/>
    <d v="2024-10-21T00:00:00"/>
    <s v="Video"/>
    <s v="Check out our latest video on twitter!"/>
    <n v="2825"/>
    <n v="535"/>
    <n v="295"/>
    <n v="45200"/>
    <n v="44739"/>
    <n v="169"/>
    <x v="0"/>
    <s v="CybertruckLaunch"/>
    <n v="25.848451327433629"/>
    <n v="3655"/>
  </r>
  <r>
    <s v="Twitter"/>
    <d v="2025-02-24T00:00:00"/>
    <s v="Carousel"/>
    <s v="Check out our latest carousel on twitter!"/>
    <n v="2704"/>
    <n v="752"/>
    <n v="153"/>
    <n v="21632"/>
    <n v="20792"/>
    <n v="127"/>
    <x v="3"/>
    <s v="Not available"/>
    <n v="54.010262573964496"/>
    <n v="3609"/>
  </r>
  <r>
    <s v="Facebook"/>
    <d v="2025-05-14T00:00:00"/>
    <s v="Text"/>
    <s v="Check out our latest text on facebook!"/>
    <n v="2634"/>
    <n v="726"/>
    <n v="241"/>
    <n v="28974"/>
    <n v="28102"/>
    <n v="277"/>
    <x v="1"/>
    <s v="CybertruckLaunch"/>
    <n v="40.3240836612135"/>
    <n v="3601"/>
  </r>
  <r>
    <s v="YouTube"/>
    <d v="2025-03-22T00:00:00"/>
    <s v="Image"/>
    <s v="Check out our latest image on youtube!"/>
    <n v="3166"/>
    <n v="90"/>
    <n v="341"/>
    <n v="56988"/>
    <n v="56125"/>
    <n v="135"/>
    <x v="1"/>
    <s v="ModelYCampaign"/>
    <n v="20.501684565171615"/>
    <n v="3597"/>
  </r>
  <r>
    <s v="YouTube"/>
    <d v="2025-02-17T00:00:00"/>
    <s v="Reel"/>
    <s v="Check out our latest reel on youtube!"/>
    <n v="3138"/>
    <n v="123"/>
    <n v="291"/>
    <n v="28242"/>
    <n v="27550"/>
    <n v="87"/>
    <x v="0"/>
    <s v="SustainabilityDrive"/>
    <n v="41.369237306139794"/>
    <n v="3552"/>
  </r>
  <r>
    <s v="Facebook"/>
    <d v="2024-08-17T00:00:00"/>
    <s v="Image"/>
    <s v="Check out our latest image on facebook!"/>
    <n v="2878"/>
    <n v="248"/>
    <n v="416"/>
    <n v="43170"/>
    <n v="42667"/>
    <n v="75"/>
    <x v="3"/>
    <s v="FSDUpdate"/>
    <n v="27.063933287004865"/>
    <n v="3542"/>
  </r>
  <r>
    <s v="Twitter"/>
    <d v="2025-04-10T00:00:00"/>
    <s v="Carousel"/>
    <s v="Check out our latest carousel on twitter!"/>
    <n v="3128"/>
    <n v="211"/>
    <n v="197"/>
    <n v="59432"/>
    <n v="59182"/>
    <n v="238"/>
    <x v="1"/>
    <s v="Not available"/>
    <n v="19.658601426840761"/>
    <n v="3536"/>
  </r>
  <r>
    <s v="Instagram"/>
    <d v="2024-10-09T00:00:00"/>
    <s v="Carousel"/>
    <s v="Check out our latest carousel on instagram!"/>
    <n v="3068"/>
    <n v="137"/>
    <n v="329"/>
    <n v="39884"/>
    <n v="39404"/>
    <n v="266"/>
    <x v="1"/>
    <s v="ModelYCampaign"/>
    <n v="29.293701735031593"/>
    <n v="3534"/>
  </r>
  <r>
    <s v="Instagram"/>
    <d v="2024-08-20T00:00:00"/>
    <s v="Reel"/>
    <s v="Check out our latest reel on instagram!"/>
    <n v="2603"/>
    <n v="690"/>
    <n v="205"/>
    <n v="13015"/>
    <n v="12130"/>
    <n v="20"/>
    <x v="3"/>
    <s v="ModelYCampaign"/>
    <n v="89.769496734537071"/>
    <n v="3498"/>
  </r>
  <r>
    <s v="Twitter"/>
    <d v="2024-12-11T00:00:00"/>
    <s v="Text"/>
    <s v="Check out our latest text on twitter!"/>
    <n v="3239"/>
    <n v="43"/>
    <n v="211"/>
    <n v="22673"/>
    <n v="22171"/>
    <n v="230"/>
    <x v="0"/>
    <s v="ModelYCampaign"/>
    <n v="51.530454725885413"/>
    <n v="3493"/>
  </r>
  <r>
    <s v="Twitter"/>
    <d v="2025-01-10T00:00:00"/>
    <s v="Image"/>
    <s v="Check out our latest image on twitter!"/>
    <n v="3092"/>
    <n v="106"/>
    <n v="291"/>
    <n v="27828"/>
    <n v="27217"/>
    <n v="102"/>
    <x v="3"/>
    <s v="Not available"/>
    <n v="41.984691677447174"/>
    <n v="3489"/>
  </r>
  <r>
    <s v="Twitter"/>
    <d v="2025-03-02T00:00:00"/>
    <s v="Image"/>
    <s v="Check out our latest image on twitter!"/>
    <n v="2358"/>
    <n v="784"/>
    <n v="344"/>
    <n v="35370"/>
    <n v="34475"/>
    <n v="216"/>
    <x v="0"/>
    <s v="Not available"/>
    <n v="33.032230703986428"/>
    <n v="3486"/>
  </r>
  <r>
    <s v="YouTube"/>
    <d v="2024-06-06T00:00:00"/>
    <s v="Reel"/>
    <s v="Check out our latest reel on youtube!"/>
    <n v="2728"/>
    <n v="533"/>
    <n v="215"/>
    <n v="40920"/>
    <n v="40816"/>
    <n v="137"/>
    <x v="3"/>
    <s v="ModelYCampaign"/>
    <n v="28.552052785923753"/>
    <n v="3476"/>
  </r>
  <r>
    <s v="Twitter"/>
    <d v="2025-02-11T00:00:00"/>
    <s v="Video"/>
    <s v="Check out our latest video on twitter!"/>
    <n v="3440"/>
    <n v="13"/>
    <n v="20"/>
    <n v="58480"/>
    <n v="58146"/>
    <n v="210"/>
    <x v="0"/>
    <s v="SustainabilityDrive"/>
    <n v="19.978625170998633"/>
    <n v="3473"/>
  </r>
  <r>
    <s v="Twitter"/>
    <d v="2025-02-11T00:00:00"/>
    <s v="Video"/>
    <s v="Check out our latest video on twitter!"/>
    <n v="3440"/>
    <n v="13"/>
    <n v="20"/>
    <n v="58480"/>
    <n v="58146"/>
    <n v="210"/>
    <x v="5"/>
    <s v="SustainabilityDrive"/>
    <n v="19.978625170998633"/>
    <n v="3473"/>
  </r>
  <r>
    <s v="YouTube"/>
    <d v="2024-09-29T00:00:00"/>
    <s v="Reel"/>
    <s v="Check out our latest reel on youtube!"/>
    <n v="2936"/>
    <n v="439"/>
    <n v="44"/>
    <n v="38168"/>
    <n v="37571"/>
    <n v="22"/>
    <x v="1"/>
    <s v="SustainabilityDrive"/>
    <n v="30.610721022846363"/>
    <n v="3419"/>
  </r>
  <r>
    <s v="Instagram"/>
    <d v="2025-01-01T00:00:00"/>
    <s v="Carousel"/>
    <s v="Check out our latest carousel on instagram!"/>
    <n v="2234"/>
    <n v="653"/>
    <n v="432"/>
    <n v="11170"/>
    <n v="10569"/>
    <n v="198"/>
    <x v="3"/>
    <s v="FSDUpdate"/>
    <n v="104.5971351835273"/>
    <n v="3319"/>
  </r>
  <r>
    <s v="Facebook"/>
    <d v="2024-11-12T00:00:00"/>
    <s v="Text"/>
    <s v="Check out our latest text on facebook!"/>
    <n v="2418"/>
    <n v="754"/>
    <n v="54"/>
    <n v="43524"/>
    <n v="42743"/>
    <n v="182"/>
    <x v="1"/>
    <s v="CybertruckLaunch"/>
    <n v="26.843810311552247"/>
    <n v="3226"/>
  </r>
  <r>
    <s v="Facebook"/>
    <d v="2024-08-26T00:00:00"/>
    <s v="Image"/>
    <s v="Check out our latest image on facebook!"/>
    <n v="2581"/>
    <n v="517"/>
    <n v="117"/>
    <n v="23229"/>
    <n v="22331"/>
    <n v="70"/>
    <x v="3"/>
    <s v="FSDUpdate"/>
    <n v="50.297042489990957"/>
    <n v="3215"/>
  </r>
  <r>
    <s v="Facebook"/>
    <d v="2024-11-28T00:00:00"/>
    <s v="Carousel"/>
    <s v="Check out our latest carousel on facebook!"/>
    <n v="2751"/>
    <n v="33"/>
    <n v="430"/>
    <n v="44016"/>
    <n v="43415"/>
    <n v="129"/>
    <x v="3"/>
    <s v="Not available"/>
    <n v="26.543756815703382"/>
    <n v="3214"/>
  </r>
  <r>
    <s v="Instagram"/>
    <d v="2025-02-25T00:00:00"/>
    <s v="Video"/>
    <s v="Check out our latest video on instagram!"/>
    <n v="3095"/>
    <n v="39"/>
    <n v="78"/>
    <n v="55710"/>
    <n v="54808"/>
    <n v="93"/>
    <x v="1"/>
    <s v="Not available"/>
    <n v="20.971997845988152"/>
    <n v="3212"/>
  </r>
  <r>
    <s v="Facebook"/>
    <d v="2024-07-31T00:00:00"/>
    <s v="Video"/>
    <s v="Check out our latest video on facebook!"/>
    <n v="3008"/>
    <n v="94"/>
    <n v="37"/>
    <n v="15040"/>
    <n v="14639"/>
    <n v="277"/>
    <x v="3"/>
    <s v="Not available"/>
    <n v="77.682845744680847"/>
    <n v="3139"/>
  </r>
  <r>
    <s v="Instagram"/>
    <d v="2025-02-07T00:00:00"/>
    <s v="Reel"/>
    <s v="Check out our latest reel on instagram!"/>
    <n v="1970"/>
    <n v="675"/>
    <n v="478"/>
    <n v="9850"/>
    <n v="8924"/>
    <n v="117"/>
    <x v="3"/>
    <s v="Not available"/>
    <n v="118.61421319796955"/>
    <n v="3123"/>
  </r>
  <r>
    <s v="Instagram"/>
    <d v="2024-11-07T00:00:00"/>
    <s v="Image"/>
    <s v="Check out our latest image on instagram!"/>
    <n v="2647"/>
    <n v="304"/>
    <n v="170"/>
    <n v="18529"/>
    <n v="17841"/>
    <n v="46"/>
    <x v="3"/>
    <s v="FSDUpdate"/>
    <n v="63.055210750715098"/>
    <n v="3121"/>
  </r>
  <r>
    <s v="YouTube"/>
    <d v="2024-10-29T00:00:00"/>
    <s v="Text"/>
    <s v="Check out our latest text on youtube!"/>
    <n v="2746"/>
    <n v="156"/>
    <n v="203"/>
    <n v="32952"/>
    <n v="32147"/>
    <n v="147"/>
    <x v="1"/>
    <s v="CybertruckLaunch"/>
    <n v="35.456117989803353"/>
    <n v="3105"/>
  </r>
  <r>
    <s v="Instagram"/>
    <d v="2024-06-13T00:00:00"/>
    <s v="Story"/>
    <s v="Check out our latest story on instagram!"/>
    <n v="2103"/>
    <n v="892"/>
    <n v="103"/>
    <n v="39957"/>
    <n v="39466"/>
    <n v="28"/>
    <x v="3"/>
    <s v="Not available"/>
    <n v="29.240183196936705"/>
    <n v="3098"/>
  </r>
  <r>
    <s v="Twitter"/>
    <d v="2024-10-05T00:00:00"/>
    <s v="Story"/>
    <s v="Check out our latest story on twitter!"/>
    <n v="1957"/>
    <n v="877"/>
    <n v="238"/>
    <n v="17613"/>
    <n v="16865"/>
    <n v="297"/>
    <x v="3"/>
    <s v="FSDUpdate"/>
    <n v="66.334525634474531"/>
    <n v="3072"/>
  </r>
  <r>
    <s v="YouTube"/>
    <d v="2025-03-13T00:00:00"/>
    <s v="Carousel"/>
    <s v="Check out our latest carousel on youtube!"/>
    <n v="1686"/>
    <n v="904"/>
    <n v="472"/>
    <n v="18546"/>
    <n v="18171"/>
    <n v="52"/>
    <x v="3"/>
    <s v="ModelYCampaign"/>
    <n v="62.997411840828214"/>
    <n v="3062"/>
  </r>
  <r>
    <s v="Facebook"/>
    <d v="2024-12-09T00:00:00"/>
    <s v="Image"/>
    <s v="Check out our latest image on facebook!"/>
    <n v="1841"/>
    <n v="851"/>
    <n v="342"/>
    <n v="34979"/>
    <n v="34154"/>
    <n v="255"/>
    <x v="3"/>
    <s v="SustainabilityDrive"/>
    <n v="33.401469453100432"/>
    <n v="3034"/>
  </r>
  <r>
    <s v="Instagram"/>
    <d v="2024-12-08T00:00:00"/>
    <s v="Story"/>
    <s v="Check out our latest story on instagram!"/>
    <n v="2610"/>
    <n v="126"/>
    <n v="288"/>
    <n v="15660"/>
    <n v="15145"/>
    <n v="73"/>
    <x v="1"/>
    <s v="Not available"/>
    <n v="74.607279693486589"/>
    <n v="3024"/>
  </r>
  <r>
    <s v="YouTube"/>
    <d v="2024-11-23T00:00:00"/>
    <s v="Image"/>
    <s v="Check out our latest image on youtube!"/>
    <n v="2719"/>
    <n v="17"/>
    <n v="285"/>
    <n v="40785"/>
    <n v="40281"/>
    <n v="40"/>
    <x v="0"/>
    <s v="ModelYCampaign"/>
    <n v="28.646561235748436"/>
    <n v="3021"/>
  </r>
  <r>
    <s v="Facebook"/>
    <d v="2024-07-21T00:00:00"/>
    <s v="Reel"/>
    <s v="Check out our latest reel on facebook!"/>
    <n v="1946"/>
    <n v="686"/>
    <n v="377"/>
    <n v="23352"/>
    <n v="22982"/>
    <n v="213"/>
    <x v="3"/>
    <s v="FSDUpdate"/>
    <n v="50.032117163412124"/>
    <n v="3009"/>
  </r>
  <r>
    <s v="Instagram"/>
    <d v="2024-12-20T00:00:00"/>
    <s v="Carousel"/>
    <s v="Check out our latest carousel on instagram!"/>
    <n v="2107"/>
    <n v="550"/>
    <n v="349"/>
    <n v="35819"/>
    <n v="35340"/>
    <n v="191"/>
    <x v="1"/>
    <s v="SustainabilityDrive"/>
    <n v="32.618163544487565"/>
    <n v="3006"/>
  </r>
  <r>
    <s v="YouTube"/>
    <d v="2024-11-30T00:00:00"/>
    <s v="Carousel"/>
    <s v="Check out our latest carousel on youtube!"/>
    <n v="2509"/>
    <n v="324"/>
    <n v="171"/>
    <n v="35126"/>
    <n v="34685"/>
    <n v="277"/>
    <x v="0"/>
    <s v="ModelYCampaign"/>
    <n v="33.261686500028468"/>
    <n v="3004"/>
  </r>
  <r>
    <s v="Twitter"/>
    <d v="2024-06-10T00:00:00"/>
    <s v="Story"/>
    <s v="Check out our latest story on twitter!"/>
    <n v="2164"/>
    <n v="549"/>
    <n v="274"/>
    <n v="28132"/>
    <n v="27361"/>
    <n v="177"/>
    <x v="0"/>
    <s v="SustainabilityDrive"/>
    <n v="41.530996729702828"/>
    <n v="2987"/>
  </r>
  <r>
    <s v="YouTube"/>
    <d v="2024-07-03T00:00:00"/>
    <s v="Story"/>
    <s v="Check out our latest story on youtube!"/>
    <n v="2754"/>
    <n v="130"/>
    <n v="90"/>
    <n v="22032"/>
    <n v="21288"/>
    <n v="112"/>
    <x v="0"/>
    <s v="FSDUpdate"/>
    <n v="53.029684095860567"/>
    <n v="2974"/>
  </r>
  <r>
    <s v="Twitter"/>
    <d v="2024-07-21T00:00:00"/>
    <s v="Text"/>
    <s v="Check out our latest text on twitter!"/>
    <n v="2147"/>
    <n v="430"/>
    <n v="393"/>
    <n v="17176"/>
    <n v="16483"/>
    <n v="170"/>
    <x v="0"/>
    <s v="Not available"/>
    <n v="68.022240335351654"/>
    <n v="2970"/>
  </r>
  <r>
    <s v="YouTube"/>
    <d v="2025-05-12T00:00:00"/>
    <s v="Reel"/>
    <s v="Check out our latest reel on youtube!"/>
    <n v="2795"/>
    <n v="105"/>
    <n v="49"/>
    <n v="53105"/>
    <n v="52307"/>
    <n v="204"/>
    <x v="0"/>
    <s v="FSDUpdate"/>
    <n v="22.000753224743434"/>
    <n v="2949"/>
  </r>
  <r>
    <s v="Facebook"/>
    <d v="2024-06-13T00:00:00"/>
    <s v="Carousel"/>
    <s v="Check out our latest carousel on facebook!"/>
    <n v="2200"/>
    <n v="504"/>
    <n v="239"/>
    <n v="37400"/>
    <n v="36938"/>
    <n v="225"/>
    <x v="3"/>
    <s v="ModelYCampaign"/>
    <n v="31.239304812834224"/>
    <n v="2943"/>
  </r>
  <r>
    <s v="Facebook"/>
    <d v="2024-08-05T00:00:00"/>
    <s v="Reel"/>
    <s v="Check out our latest reel on facebook!"/>
    <n v="1741"/>
    <n v="831"/>
    <n v="345"/>
    <n v="17410"/>
    <n v="16844"/>
    <n v="58"/>
    <x v="1"/>
    <s v="FSDUpdate"/>
    <n v="67.107983917288919"/>
    <n v="2917"/>
  </r>
  <r>
    <s v="Instagram"/>
    <d v="2024-08-12T00:00:00"/>
    <s v="Story"/>
    <s v="Check out our latest story on instagram!"/>
    <n v="2404"/>
    <n v="363"/>
    <n v="138"/>
    <n v="19232"/>
    <n v="18636"/>
    <n v="128"/>
    <x v="1"/>
    <s v="SustainabilityDrive"/>
    <n v="60.750311980033281"/>
    <n v="2905"/>
  </r>
  <r>
    <s v="Instagram"/>
    <d v="2025-02-02T00:00:00"/>
    <s v="Story"/>
    <s v="Check out our latest story on instagram!"/>
    <n v="1792"/>
    <n v="614"/>
    <n v="497"/>
    <n v="25088"/>
    <n v="24675"/>
    <n v="65"/>
    <x v="3"/>
    <s v="SustainabilityDrive"/>
    <n v="46.570073341836732"/>
    <n v="2903"/>
  </r>
  <r>
    <s v="Instagram"/>
    <d v="2025-03-04T00:00:00"/>
    <s v="Story"/>
    <s v="Check out our latest story on instagram!"/>
    <n v="1947"/>
    <n v="842"/>
    <n v="101"/>
    <n v="21417"/>
    <n v="20967"/>
    <n v="186"/>
    <x v="3"/>
    <s v="ModelYCampaign"/>
    <n v="54.552458327496851"/>
    <n v="2890"/>
  </r>
  <r>
    <s v="Twitter"/>
    <d v="2025-01-14T00:00:00"/>
    <s v="Image"/>
    <s v="Check out our latest image on twitter!"/>
    <n v="2692"/>
    <n v="115"/>
    <n v="64"/>
    <n v="21536"/>
    <n v="21120"/>
    <n v="224"/>
    <x v="3"/>
    <s v="ModelYCampaign"/>
    <n v="54.251021545319468"/>
    <n v="2871"/>
  </r>
  <r>
    <s v="Facebook"/>
    <d v="2024-07-15T00:00:00"/>
    <s v="Image"/>
    <s v="Check out our latest image on facebook!"/>
    <n v="2291"/>
    <n v="78"/>
    <n v="485"/>
    <n v="18328"/>
    <n v="18101"/>
    <n v="10"/>
    <x v="1"/>
    <s v="ModelYCampaign"/>
    <n v="63.746726320384113"/>
    <n v="2854"/>
  </r>
  <r>
    <s v="Facebook"/>
    <d v="2024-07-15T00:00:00"/>
    <s v="Image"/>
    <s v="Check out our latest image on facebook!"/>
    <n v="2291"/>
    <n v="78"/>
    <n v="485"/>
    <n v="18328"/>
    <n v="18101"/>
    <n v="10"/>
    <x v="5"/>
    <s v="ModelYCampaign"/>
    <n v="63.746726320384113"/>
    <n v="2854"/>
  </r>
  <r>
    <s v="Instagram"/>
    <d v="2024-12-14T00:00:00"/>
    <s v="Carousel"/>
    <s v="Check out our latest carousel on instagram!"/>
    <n v="2174"/>
    <n v="658"/>
    <n v="15"/>
    <n v="13044"/>
    <n v="12206"/>
    <n v="137"/>
    <x v="0"/>
    <s v="FSDUpdate"/>
    <n v="89.569917203311874"/>
    <n v="2847"/>
  </r>
  <r>
    <s v="Twitter"/>
    <d v="2025-02-20T00:00:00"/>
    <s v="Carousel"/>
    <s v="Check out our latest carousel on twitter!"/>
    <n v="1877"/>
    <n v="745"/>
    <n v="225"/>
    <n v="11262"/>
    <n v="10967"/>
    <n v="41"/>
    <x v="1"/>
    <s v="SustainabilityDrive"/>
    <n v="103.74267448055407"/>
    <n v="2847"/>
  </r>
  <r>
    <s v="Twitter"/>
    <d v="2024-06-10T00:00:00"/>
    <s v="Story"/>
    <s v="Check out our latest story on twitter!"/>
    <n v="1575"/>
    <n v="771"/>
    <n v="486"/>
    <n v="25200"/>
    <n v="24826"/>
    <n v="17"/>
    <x v="3"/>
    <s v="SustainabilityDrive"/>
    <n v="46.363095238095241"/>
    <n v="2832"/>
  </r>
  <r>
    <s v="Instagram"/>
    <d v="2024-06-22T00:00:00"/>
    <s v="Text"/>
    <s v="Check out our latest text on instagram!"/>
    <n v="2180"/>
    <n v="263"/>
    <n v="387"/>
    <n v="30520"/>
    <n v="30059"/>
    <n v="174"/>
    <x v="1"/>
    <s v="Not available"/>
    <n v="38.281454783748359"/>
    <n v="2830"/>
  </r>
  <r>
    <s v="Facebook"/>
    <d v="2024-10-08T00:00:00"/>
    <s v="Reel"/>
    <s v="Check out our latest reel on facebook!"/>
    <n v="1814"/>
    <n v="653"/>
    <n v="363"/>
    <n v="25396"/>
    <n v="25286"/>
    <n v="39"/>
    <x v="3"/>
    <s v="CybertruckLaunch"/>
    <n v="46.0052764214837"/>
    <n v="2830"/>
  </r>
  <r>
    <s v="Facebook"/>
    <d v="2024-10-08T00:00:00"/>
    <s v="Reel"/>
    <s v="Check out our latest reel on facebook!"/>
    <n v="1814"/>
    <n v="653"/>
    <n v="363"/>
    <n v="25396"/>
    <n v="25286"/>
    <n v="39"/>
    <x v="5"/>
    <s v="CybertruckLaunch"/>
    <n v="46.0052764214837"/>
    <n v="2830"/>
  </r>
  <r>
    <s v="Facebook"/>
    <d v="2024-06-11T00:00:00"/>
    <s v="Carousel"/>
    <s v="Check out our latest carousel on facebook!"/>
    <n v="1869"/>
    <n v="453"/>
    <n v="490"/>
    <n v="14952"/>
    <n v="14309"/>
    <n v="275"/>
    <x v="0"/>
    <s v="SustainabilityDrive"/>
    <n v="78.140048154093094"/>
    <n v="2812"/>
  </r>
  <r>
    <s v="Facebook"/>
    <d v="2025-03-08T00:00:00"/>
    <s v="Image"/>
    <s v="Check out our latest image on facebook!"/>
    <n v="2382"/>
    <n v="265"/>
    <n v="134"/>
    <n v="38112"/>
    <n v="37437"/>
    <n v="249"/>
    <x v="3"/>
    <s v="SustainabilityDrive"/>
    <n v="30.655698992443323"/>
    <n v="2781"/>
  </r>
  <r>
    <s v="Facebook"/>
    <d v="2024-11-25T00:00:00"/>
    <s v="Story"/>
    <s v="Check out our latest story on facebook!"/>
    <n v="2120"/>
    <n v="158"/>
    <n v="488"/>
    <n v="12720"/>
    <n v="12085"/>
    <n v="17"/>
    <x v="3"/>
    <s v="ModelYCampaign"/>
    <n v="91.851415094339629"/>
    <n v="2766"/>
  </r>
  <r>
    <s v="YouTube"/>
    <d v="2025-03-25T00:00:00"/>
    <s v="Story"/>
    <s v="Check out our latest story on youtube!"/>
    <n v="2070"/>
    <n v="275"/>
    <n v="386"/>
    <n v="39330"/>
    <n v="38627"/>
    <n v="114"/>
    <x v="3"/>
    <s v="SustainabilityDrive"/>
    <n v="29.706331045003814"/>
    <n v="2731"/>
  </r>
  <r>
    <s v="Twitter"/>
    <d v="2025-03-11T00:00:00"/>
    <s v="Story"/>
    <s v="Check out our latest story on twitter!"/>
    <n v="1950"/>
    <n v="295"/>
    <n v="478"/>
    <n v="37050"/>
    <n v="36272"/>
    <n v="119"/>
    <x v="0"/>
    <s v="Not available"/>
    <n v="31.534412955465587"/>
    <n v="2723"/>
  </r>
  <r>
    <s v="Instagram"/>
    <d v="2025-01-31T00:00:00"/>
    <s v="Carousel"/>
    <s v="Check out our latest carousel on instagram!"/>
    <n v="2566"/>
    <n v="118"/>
    <n v="37"/>
    <n v="12830"/>
    <n v="12264"/>
    <n v="221"/>
    <x v="3"/>
    <s v="FSDUpdate"/>
    <n v="91.063912704598593"/>
    <n v="2721"/>
  </r>
  <r>
    <s v="Twitter"/>
    <d v="2024-06-06T00:00:00"/>
    <s v="Video"/>
    <s v="Check out our latest video on twitter!"/>
    <n v="1436"/>
    <n v="765"/>
    <n v="496"/>
    <n v="12924"/>
    <n v="12701"/>
    <n v="197"/>
    <x v="3"/>
    <s v="FSDUpdate"/>
    <n v="90.401578458681527"/>
    <n v="2697"/>
  </r>
  <r>
    <s v="YouTube"/>
    <d v="2025-03-05T00:00:00"/>
    <s v="Reel"/>
    <s v="Check out our latest reel on youtube!"/>
    <n v="1543"/>
    <n v="820"/>
    <n v="333"/>
    <n v="12344"/>
    <n v="11496"/>
    <n v="241"/>
    <x v="1"/>
    <s v="Not available"/>
    <n v="94.649222294232018"/>
    <n v="2696"/>
  </r>
  <r>
    <s v="Facebook"/>
    <d v="2025-02-06T00:00:00"/>
    <s v="Image"/>
    <s v="Check out our latest image on facebook!"/>
    <n v="2072"/>
    <n v="532"/>
    <n v="71"/>
    <n v="37296"/>
    <n v="36467"/>
    <n v="25"/>
    <x v="0"/>
    <s v="SustainabilityDrive"/>
    <n v="31.326415701415701"/>
    <n v="2675"/>
  </r>
  <r>
    <s v="Instagram"/>
    <d v="2024-08-01T00:00:00"/>
    <s v="Reel"/>
    <s v="Check out our latest reel on instagram!"/>
    <n v="1674"/>
    <n v="929"/>
    <n v="37"/>
    <n v="21762"/>
    <n v="20998"/>
    <n v="255"/>
    <x v="0"/>
    <s v="SustainabilityDrive"/>
    <n v="53.687620623104493"/>
    <n v="2640"/>
  </r>
  <r>
    <s v="Twitter"/>
    <d v="2024-12-24T00:00:00"/>
    <s v="Text"/>
    <s v="Check out our latest text on twitter!"/>
    <n v="2166"/>
    <n v="354"/>
    <n v="117"/>
    <n v="10830"/>
    <n v="10245"/>
    <n v="24"/>
    <x v="1"/>
    <s v="SustainabilityDrive"/>
    <n v="107.8808864265928"/>
    <n v="2637"/>
  </r>
  <r>
    <s v="Twitter"/>
    <d v="2025-05-11T00:00:00"/>
    <s v="Image"/>
    <s v="Check out our latest image on twitter!"/>
    <n v="2493"/>
    <n v="97"/>
    <n v="44"/>
    <n v="42381"/>
    <n v="41991"/>
    <n v="242"/>
    <x v="0"/>
    <s v="SustainabilityDrive"/>
    <n v="27.567778013732568"/>
    <n v="2634"/>
  </r>
  <r>
    <s v="Twitter"/>
    <d v="2025-05-11T00:00:00"/>
    <s v="Image"/>
    <s v="Check out our latest image on twitter!"/>
    <n v="2493"/>
    <n v="97"/>
    <n v="44"/>
    <n v="42381"/>
    <n v="41991"/>
    <n v="242"/>
    <x v="2"/>
    <s v="SustainabilityDrive"/>
    <n v="27.567778013732568"/>
    <n v="2634"/>
  </r>
  <r>
    <s v="Facebook"/>
    <d v="2025-04-28T00:00:00"/>
    <s v="Carousel"/>
    <s v="Check out our latest carousel on facebook!"/>
    <n v="2089"/>
    <n v="476"/>
    <n v="69"/>
    <n v="16712"/>
    <n v="16309"/>
    <n v="64"/>
    <x v="3"/>
    <s v="FSDUpdate"/>
    <n v="69.910842508377215"/>
    <n v="2634"/>
  </r>
  <r>
    <s v="Twitter"/>
    <d v="2024-06-16T00:00:00"/>
    <s v="Video"/>
    <s v="Check out our latest video on twitter!"/>
    <n v="1702"/>
    <n v="750"/>
    <n v="179"/>
    <n v="34040"/>
    <n v="33174"/>
    <n v="76"/>
    <x v="1"/>
    <s v="CybertruckLaunch"/>
    <n v="34.322855464159815"/>
    <n v="2631"/>
  </r>
  <r>
    <s v="YouTube"/>
    <d v="2024-12-21T00:00:00"/>
    <s v="Image"/>
    <s v="Check out our latest image on youtube!"/>
    <n v="2283"/>
    <n v="210"/>
    <n v="130"/>
    <n v="22830"/>
    <n v="22617"/>
    <n v="143"/>
    <x v="3"/>
    <s v="ModelYCampaign"/>
    <n v="51.176084099868596"/>
    <n v="2623"/>
  </r>
  <r>
    <s v="Twitter"/>
    <d v="2025-01-10T00:00:00"/>
    <s v="Image"/>
    <s v="Check out our latest image on twitter!"/>
    <n v="2214"/>
    <n v="249"/>
    <n v="152"/>
    <n v="15498"/>
    <n v="14800"/>
    <n v="180"/>
    <x v="1"/>
    <s v="Not available"/>
    <n v="75.387146728610148"/>
    <n v="2615"/>
  </r>
  <r>
    <s v="Twitter"/>
    <d v="2024-07-31T00:00:00"/>
    <s v="Carousel"/>
    <s v="Check out our latest carousel on twitter!"/>
    <n v="2278"/>
    <n v="10"/>
    <n v="321"/>
    <n v="13668"/>
    <n v="12676"/>
    <n v="275"/>
    <x v="1"/>
    <s v="CybertruckLaunch"/>
    <n v="85.480684811237921"/>
    <n v="2609"/>
  </r>
  <r>
    <s v="Instagram"/>
    <d v="2024-08-11T00:00:00"/>
    <s v="Story"/>
    <s v="Check out our latest story on instagram!"/>
    <n v="1762"/>
    <n v="405"/>
    <n v="423"/>
    <n v="22906"/>
    <n v="21925"/>
    <n v="25"/>
    <x v="0"/>
    <s v="CybertruckLaunch"/>
    <n v="51.006286562472717"/>
    <n v="2590"/>
  </r>
  <r>
    <s v="Twitter"/>
    <d v="2025-05-06T00:00:00"/>
    <s v="Image"/>
    <s v="Check out our latest image on twitter!"/>
    <n v="1952"/>
    <n v="344"/>
    <n v="287"/>
    <n v="15616"/>
    <n v="15403"/>
    <n v="235"/>
    <x v="3"/>
    <s v="ModelYCampaign"/>
    <n v="74.817494877049185"/>
    <n v="2583"/>
  </r>
  <r>
    <s v="Twitter"/>
    <d v="2025-05-06T00:00:00"/>
    <s v="Image"/>
    <s v="Check out our latest image on twitter!"/>
    <n v="1952"/>
    <n v="344"/>
    <n v="287"/>
    <n v="15616"/>
    <n v="15403"/>
    <n v="235"/>
    <x v="0"/>
    <s v="ModelYCampaign"/>
    <n v="74.817494877049185"/>
    <n v="2583"/>
  </r>
  <r>
    <s v="Twitter"/>
    <d v="2025-05-06T00:00:00"/>
    <s v="Image"/>
    <s v="Check out our latest image on twitter!"/>
    <n v="1952"/>
    <n v="344"/>
    <n v="287"/>
    <n v="15616"/>
    <n v="15403"/>
    <n v="235"/>
    <x v="2"/>
    <s v="ModelYCampaign"/>
    <n v="74.817494877049185"/>
    <n v="2583"/>
  </r>
  <r>
    <s v="Instagram"/>
    <d v="2025-03-27T00:00:00"/>
    <s v="Carousel"/>
    <s v="Check out our latest carousel on instagram!"/>
    <n v="1377"/>
    <n v="796"/>
    <n v="387"/>
    <n v="22032"/>
    <n v="21869"/>
    <n v="189"/>
    <x v="3"/>
    <s v="Not available"/>
    <n v="53.029684095860567"/>
    <n v="2560"/>
  </r>
  <r>
    <s v="Instagram"/>
    <d v="2024-12-19T00:00:00"/>
    <s v="Text"/>
    <s v="Check out our latest text on instagram!"/>
    <n v="1813"/>
    <n v="623"/>
    <n v="72"/>
    <n v="19943"/>
    <n v="18959"/>
    <n v="85"/>
    <x v="1"/>
    <s v="FSDUpdate"/>
    <n v="58.584465727322872"/>
    <n v="2508"/>
  </r>
  <r>
    <s v="Instagram"/>
    <d v="2025-03-28T00:00:00"/>
    <s v="Story"/>
    <s v="Check out our latest story on instagram!"/>
    <n v="1881"/>
    <n v="501"/>
    <n v="99"/>
    <n v="20691"/>
    <n v="19987"/>
    <n v="289"/>
    <x v="1"/>
    <s v="Not available"/>
    <n v="56.466579672321302"/>
    <n v="2481"/>
  </r>
  <r>
    <s v="Facebook"/>
    <d v="2024-11-06T00:00:00"/>
    <s v="Video"/>
    <s v="Check out our latest video on facebook!"/>
    <n v="1606"/>
    <n v="547"/>
    <n v="316"/>
    <n v="32120"/>
    <n v="31736"/>
    <n v="225"/>
    <x v="0"/>
    <s v="ModelYCampaign"/>
    <n v="36.374533001245332"/>
    <n v="2469"/>
  </r>
  <r>
    <s v="Facebook"/>
    <d v="2024-11-06T00:00:00"/>
    <s v="Video"/>
    <s v="Check out our latest video on facebook!"/>
    <n v="1606"/>
    <n v="547"/>
    <n v="316"/>
    <n v="32120"/>
    <n v="31736"/>
    <n v="225"/>
    <x v="2"/>
    <s v="ModelYCampaign"/>
    <n v="36.374533001245332"/>
    <n v="2469"/>
  </r>
  <r>
    <s v="Twitter"/>
    <d v="2024-11-04T00:00:00"/>
    <s v="Image"/>
    <s v="Check out our latest image on twitter!"/>
    <n v="1606"/>
    <n v="451"/>
    <n v="405"/>
    <n v="20878"/>
    <n v="20190"/>
    <n v="219"/>
    <x v="1"/>
    <s v="SustainabilityDrive"/>
    <n v="55.960820001915891"/>
    <n v="2462"/>
  </r>
  <r>
    <s v="Facebook"/>
    <d v="2024-06-02T00:00:00"/>
    <s v="Image"/>
    <s v="Check out our latest image on facebook!"/>
    <n v="1871"/>
    <n v="252"/>
    <n v="335"/>
    <n v="29936"/>
    <n v="29576"/>
    <n v="288"/>
    <x v="1"/>
    <s v="FSDUpdate"/>
    <n v="39.028260288615712"/>
    <n v="2458"/>
  </r>
  <r>
    <s v="Twitter"/>
    <d v="2025-03-08T00:00:00"/>
    <s v="Text"/>
    <s v="Check out our latest text on twitter!"/>
    <n v="1292"/>
    <n v="626"/>
    <n v="496"/>
    <n v="25840"/>
    <n v="24916"/>
    <n v="149"/>
    <x v="3"/>
    <s v="FSDUpdate"/>
    <n v="45.214783281733745"/>
    <n v="2414"/>
  </r>
  <r>
    <s v="Instagram"/>
    <d v="2024-12-11T00:00:00"/>
    <s v="Video"/>
    <s v="Check out our latest video on instagram!"/>
    <n v="1431"/>
    <n v="951"/>
    <n v="26"/>
    <n v="8586"/>
    <n v="8396"/>
    <n v="150"/>
    <x v="1"/>
    <s v="FSDUpdate"/>
    <n v="136.07617051013278"/>
    <n v="2408"/>
  </r>
  <r>
    <s v="YouTube"/>
    <d v="2024-09-17T00:00:00"/>
    <s v="Text"/>
    <s v="Check out our latest text on youtube!"/>
    <n v="2076"/>
    <n v="195"/>
    <n v="104"/>
    <n v="33216"/>
    <n v="32244"/>
    <n v="51"/>
    <x v="3"/>
    <s v="SustainabilityDrive"/>
    <n v="35.174313583815028"/>
    <n v="2375"/>
  </r>
  <r>
    <s v="Twitter"/>
    <d v="2024-07-18T00:00:00"/>
    <s v="Carousel"/>
    <s v="Check out our latest carousel on twitter!"/>
    <n v="2120"/>
    <n v="38"/>
    <n v="212"/>
    <n v="12720"/>
    <n v="12564"/>
    <n v="21"/>
    <x v="3"/>
    <s v="SustainabilityDrive"/>
    <n v="91.851415094339629"/>
    <n v="2370"/>
  </r>
  <r>
    <s v="YouTube"/>
    <d v="2024-09-18T00:00:00"/>
    <s v="Carousel"/>
    <s v="Check out our latest carousel on youtube!"/>
    <n v="2143"/>
    <n v="12"/>
    <n v="204"/>
    <n v="40717"/>
    <n v="40125"/>
    <n v="248"/>
    <x v="1"/>
    <s v="ModelYCampaign"/>
    <n v="28.694402829285064"/>
    <n v="2359"/>
  </r>
  <r>
    <s v="Twitter"/>
    <d v="2024-12-22T00:00:00"/>
    <s v="Reel"/>
    <s v="Check out our latest reel on twitter!"/>
    <n v="1644"/>
    <n v="546"/>
    <n v="150"/>
    <n v="27948"/>
    <n v="27184"/>
    <n v="300"/>
    <x v="1"/>
    <s v="FSDUpdate"/>
    <n v="41.804422498926577"/>
    <n v="2340"/>
  </r>
  <r>
    <s v="Twitter"/>
    <d v="2024-12-05T00:00:00"/>
    <s v="Video"/>
    <s v="Check out our latest video on twitter!"/>
    <n v="1330"/>
    <n v="925"/>
    <n v="35"/>
    <n v="15960"/>
    <n v="15379"/>
    <n v="229"/>
    <x v="3"/>
    <s v="FSDUpdate"/>
    <n v="73.204887218045116"/>
    <n v="2290"/>
  </r>
  <r>
    <s v="YouTube"/>
    <d v="2025-02-10T00:00:00"/>
    <s v="Video"/>
    <s v="Check out our latest video on youtube!"/>
    <n v="1766"/>
    <n v="92"/>
    <n v="424"/>
    <n v="24724"/>
    <n v="24333"/>
    <n v="52"/>
    <x v="1"/>
    <s v="Not available"/>
    <n v="47.255702960685973"/>
    <n v="2282"/>
  </r>
  <r>
    <s v="YouTube"/>
    <d v="2024-10-28T00:00:00"/>
    <s v="Reel"/>
    <s v="Check out our latest reel on youtube!"/>
    <n v="1855"/>
    <n v="200"/>
    <n v="174"/>
    <n v="16695"/>
    <n v="16330"/>
    <n v="123"/>
    <x v="0"/>
    <s v="FSDUpdate"/>
    <n v="69.98203054806828"/>
    <n v="2229"/>
  </r>
  <r>
    <s v="Instagram"/>
    <d v="2024-08-07T00:00:00"/>
    <s v="Carousel"/>
    <s v="Check out our latest carousel on instagram!"/>
    <n v="1741"/>
    <n v="164"/>
    <n v="318"/>
    <n v="8705"/>
    <n v="8272"/>
    <n v="121"/>
    <x v="0"/>
    <s v="Not available"/>
    <n v="134.21596783457784"/>
    <n v="2223"/>
  </r>
  <r>
    <s v="Instagram"/>
    <d v="2024-10-09T00:00:00"/>
    <s v="Carousel"/>
    <s v="Check out our latest carousel on instagram!"/>
    <n v="985"/>
    <n v="932"/>
    <n v="287"/>
    <n v="6895"/>
    <n v="6757"/>
    <n v="64"/>
    <x v="3"/>
    <s v="SustainabilityDrive"/>
    <n v="169.44887599709935"/>
    <n v="2204"/>
  </r>
  <r>
    <s v="YouTube"/>
    <d v="2024-10-04T00:00:00"/>
    <s v="Text"/>
    <s v="Check out our latest text on youtube!"/>
    <n v="1963"/>
    <n v="213"/>
    <n v="19"/>
    <n v="39260"/>
    <n v="38771"/>
    <n v="145"/>
    <x v="3"/>
    <s v="Not available"/>
    <n v="29.759296994396333"/>
    <n v="2195"/>
  </r>
  <r>
    <s v="Facebook"/>
    <d v="2024-08-21T00:00:00"/>
    <s v="Image"/>
    <s v="Check out our latest image on facebook!"/>
    <n v="1407"/>
    <n v="400"/>
    <n v="351"/>
    <n v="16884"/>
    <n v="15954"/>
    <n v="113"/>
    <x v="0"/>
    <s v="CybertruckLaunch"/>
    <n v="69.198649609097373"/>
    <n v="2158"/>
  </r>
  <r>
    <s v="Twitter"/>
    <d v="2024-09-18T00:00:00"/>
    <s v="Reel"/>
    <s v="Check out our latest reel on twitter!"/>
    <n v="1000"/>
    <n v="978"/>
    <n v="162"/>
    <n v="6000"/>
    <n v="5221"/>
    <n v="223"/>
    <x v="1"/>
    <s v="ModelYCampaign"/>
    <n v="194.72499999999999"/>
    <n v="2140"/>
  </r>
  <r>
    <s v="Instagram"/>
    <d v="2024-08-12T00:00:00"/>
    <s v="Carousel"/>
    <s v="Check out our latest carousel on instagram!"/>
    <n v="1878"/>
    <n v="62"/>
    <n v="179"/>
    <n v="37560"/>
    <n v="36874"/>
    <n v="142"/>
    <x v="0"/>
    <s v="SustainabilityDrive"/>
    <n v="31.106230031948883"/>
    <n v="2119"/>
  </r>
  <r>
    <s v="Instagram"/>
    <d v="2024-08-15T00:00:00"/>
    <s v="Reel"/>
    <s v="Check out our latest reel on instagram!"/>
    <n v="1164"/>
    <n v="616"/>
    <n v="324"/>
    <n v="6984"/>
    <n v="6636"/>
    <n v="82"/>
    <x v="1"/>
    <s v="CybertruckLaunch"/>
    <n v="167.28951890034364"/>
    <n v="2104"/>
  </r>
  <r>
    <s v="Facebook"/>
    <d v="2025-03-26T00:00:00"/>
    <s v="Text"/>
    <s v="Check out our latest text on facebook!"/>
    <n v="1652"/>
    <n v="89"/>
    <n v="357"/>
    <n v="29736"/>
    <n v="28771"/>
    <n v="215"/>
    <x v="0"/>
    <s v="FSDUpdate"/>
    <n v="39.290758676351899"/>
    <n v="2098"/>
  </r>
  <r>
    <s v="Instagram"/>
    <d v="2024-10-03T00:00:00"/>
    <s v="Video"/>
    <s v="Check out our latest video on instagram!"/>
    <n v="1488"/>
    <n v="417"/>
    <n v="168"/>
    <n v="19344"/>
    <n v="18395"/>
    <n v="30"/>
    <x v="3"/>
    <s v="FSDUpdate"/>
    <n v="60.398573200992558"/>
    <n v="2073"/>
  </r>
  <r>
    <s v="Twitter"/>
    <d v="2024-09-10T00:00:00"/>
    <s v="Image"/>
    <s v="Check out our latest image on twitter!"/>
    <n v="1238"/>
    <n v="366"/>
    <n v="444"/>
    <n v="19808"/>
    <n v="19334"/>
    <n v="123"/>
    <x v="3"/>
    <s v="Not available"/>
    <n v="58.983743941841681"/>
    <n v="2048"/>
  </r>
  <r>
    <s v="Instagram"/>
    <d v="2024-11-29T00:00:00"/>
    <s v="Video"/>
    <s v="Check out our latest video on instagram!"/>
    <n v="1176"/>
    <n v="464"/>
    <n v="394"/>
    <n v="14112"/>
    <n v="13588"/>
    <n v="272"/>
    <x v="1"/>
    <s v="Not available"/>
    <n v="82.791241496598644"/>
    <n v="2034"/>
  </r>
  <r>
    <s v="Facebook"/>
    <d v="2025-02-27T00:00:00"/>
    <s v="Text"/>
    <s v="Check out our latest text on facebook!"/>
    <n v="1570"/>
    <n v="187"/>
    <n v="260"/>
    <n v="25120"/>
    <n v="24613"/>
    <n v="133"/>
    <x v="0"/>
    <s v="SustainabilityDrive"/>
    <n v="46.510748407643312"/>
    <n v="2017"/>
  </r>
  <r>
    <s v="Facebook"/>
    <d v="2025-03-24T00:00:00"/>
    <s v="Image"/>
    <s v="Check out our latest image on facebook!"/>
    <n v="1263"/>
    <n v="397"/>
    <n v="357"/>
    <n v="25260"/>
    <n v="24615"/>
    <n v="137"/>
    <x v="1"/>
    <s v="SustainabilityDrive"/>
    <n v="46.25296912114014"/>
    <n v="2017"/>
  </r>
  <r>
    <s v="Facebook"/>
    <d v="2024-10-21T00:00:00"/>
    <s v="Story"/>
    <s v="Check out our latest story on facebook!"/>
    <n v="780"/>
    <n v="928"/>
    <n v="301"/>
    <n v="8580"/>
    <n v="8081"/>
    <n v="91"/>
    <x v="1"/>
    <s v="FSDUpdate"/>
    <n v="136.17132867132867"/>
    <n v="2009"/>
  </r>
  <r>
    <s v="Twitter"/>
    <d v="2024-12-23T00:00:00"/>
    <s v="Reel"/>
    <s v="Check out our latest reel on twitter!"/>
    <n v="1461"/>
    <n v="184"/>
    <n v="344"/>
    <n v="21915"/>
    <n v="21675"/>
    <n v="15"/>
    <x v="3"/>
    <s v="CybertruckLaunch"/>
    <n v="53.312799452429843"/>
    <n v="1989"/>
  </r>
  <r>
    <s v="Twitter"/>
    <d v="2024-12-23T00:00:00"/>
    <s v="Reel"/>
    <s v="Check out our latest reel on twitter!"/>
    <n v="1461"/>
    <n v="184"/>
    <n v="344"/>
    <n v="21915"/>
    <n v="21675"/>
    <n v="15"/>
    <x v="2"/>
    <s v="CybertruckLaunch"/>
    <n v="53.312799452429843"/>
    <n v="1989"/>
  </r>
  <r>
    <s v="Instagram"/>
    <d v="2025-01-28T00:00:00"/>
    <s v="Video"/>
    <s v="Check out our latest video on instagram!"/>
    <n v="904"/>
    <n v="973"/>
    <n v="63"/>
    <n v="11752"/>
    <n v="11580"/>
    <n v="84"/>
    <x v="1"/>
    <s v="FSDUpdate"/>
    <n v="99.417120490129335"/>
    <n v="1940"/>
  </r>
  <r>
    <s v="Instagram"/>
    <d v="2025-01-28T00:00:00"/>
    <s v="Video"/>
    <s v="Check out our latest video on instagram!"/>
    <n v="904"/>
    <n v="973"/>
    <n v="63"/>
    <n v="11752"/>
    <n v="11580"/>
    <n v="84"/>
    <x v="0"/>
    <s v="FSDUpdate"/>
    <n v="99.417120490129335"/>
    <n v="1940"/>
  </r>
  <r>
    <s v="Instagram"/>
    <d v="2025-01-28T00:00:00"/>
    <s v="Video"/>
    <s v="Check out our latest video on instagram!"/>
    <n v="904"/>
    <n v="973"/>
    <n v="63"/>
    <n v="11752"/>
    <n v="11580"/>
    <n v="84"/>
    <x v="2"/>
    <s v="FSDUpdate"/>
    <n v="99.417120490129335"/>
    <n v="1940"/>
  </r>
  <r>
    <s v="Instagram"/>
    <d v="2024-10-19T00:00:00"/>
    <s v="Story"/>
    <s v="Check out our latest story on instagram!"/>
    <n v="1816"/>
    <n v="29"/>
    <n v="41"/>
    <n v="19976"/>
    <n v="19262"/>
    <n v="283"/>
    <x v="0"/>
    <s v="FSDUpdate"/>
    <n v="58.48768522226672"/>
    <n v="1886"/>
  </r>
  <r>
    <s v="Twitter"/>
    <d v="2024-06-07T00:00:00"/>
    <s v="Carousel"/>
    <s v="Check out our latest carousel on twitter!"/>
    <n v="1556"/>
    <n v="195"/>
    <n v="131"/>
    <n v="9336"/>
    <n v="8875"/>
    <n v="137"/>
    <x v="0"/>
    <s v="ModelYCampaign"/>
    <n v="125.14460154241645"/>
    <n v="1882"/>
  </r>
  <r>
    <s v="Twitter"/>
    <d v="2024-09-14T00:00:00"/>
    <s v="Image"/>
    <s v="Check out our latest image on twitter!"/>
    <n v="1048"/>
    <n v="374"/>
    <n v="450"/>
    <n v="9432"/>
    <n v="8882"/>
    <n v="158"/>
    <x v="0"/>
    <s v="FSDUpdate"/>
    <n v="123.8708651399491"/>
    <n v="1872"/>
  </r>
  <r>
    <s v="YouTube"/>
    <d v="2025-03-21T00:00:00"/>
    <s v="Image"/>
    <s v="Check out our latest image on youtube!"/>
    <n v="606"/>
    <n v="789"/>
    <n v="470"/>
    <n v="7878"/>
    <n v="7389"/>
    <n v="239"/>
    <x v="1"/>
    <s v="FSDUpdate"/>
    <n v="148.30540746382331"/>
    <n v="1865"/>
  </r>
  <r>
    <s v="Instagram"/>
    <d v="2025-05-01T00:00:00"/>
    <s v="Text"/>
    <s v="Check out our latest text on instagram!"/>
    <n v="1430"/>
    <n v="376"/>
    <n v="33"/>
    <n v="21450"/>
    <n v="20509"/>
    <n v="251"/>
    <x v="3"/>
    <s v="CybertruckLaunch"/>
    <n v="54.468531468531467"/>
    <n v="1839"/>
  </r>
  <r>
    <s v="Facebook"/>
    <d v="2024-06-01T00:00:00"/>
    <s v="Text"/>
    <s v="Check out our latest text on facebook!"/>
    <n v="1272"/>
    <n v="465"/>
    <n v="99"/>
    <n v="24168"/>
    <n v="23719"/>
    <n v="42"/>
    <x v="0"/>
    <s v="Not available"/>
    <n v="48.342850049652434"/>
    <n v="1836"/>
  </r>
  <r>
    <s v="Twitter"/>
    <d v="2025-01-28T00:00:00"/>
    <s v="Reel"/>
    <s v="Check out our latest reel on twitter!"/>
    <n v="1188"/>
    <n v="470"/>
    <n v="174"/>
    <n v="7128"/>
    <n v="6145"/>
    <n v="270"/>
    <x v="0"/>
    <s v="SustainabilityDrive"/>
    <n v="163.90993265993265"/>
    <n v="1832"/>
  </r>
  <r>
    <s v="YouTube"/>
    <d v="2024-12-31T00:00:00"/>
    <s v="Video"/>
    <s v="Check out our latest video on youtube!"/>
    <n v="1018"/>
    <n v="447"/>
    <n v="332"/>
    <n v="18324"/>
    <n v="18164"/>
    <n v="38"/>
    <x v="3"/>
    <s v="ModelYCampaign"/>
    <n v="63.760641781270465"/>
    <n v="1797"/>
  </r>
  <r>
    <s v="Facebook"/>
    <d v="2025-03-04T00:00:00"/>
    <s v="Story"/>
    <s v="Check out our latest story on facebook!"/>
    <n v="1249"/>
    <n v="116"/>
    <n v="420"/>
    <n v="8743"/>
    <n v="8538"/>
    <n v="63"/>
    <x v="0"/>
    <s v="Not available"/>
    <n v="133.63262038201989"/>
    <n v="1785"/>
  </r>
  <r>
    <s v="Twitter"/>
    <d v="2024-08-24T00:00:00"/>
    <s v="Video"/>
    <s v="Check out our latest video on twitter!"/>
    <n v="1082"/>
    <n v="209"/>
    <n v="484"/>
    <n v="19476"/>
    <n v="18654"/>
    <n v="20"/>
    <x v="0"/>
    <s v="Not available"/>
    <n v="59.989217498459645"/>
    <n v="1775"/>
  </r>
  <r>
    <s v="YouTube"/>
    <d v="2024-07-29T00:00:00"/>
    <s v="Story"/>
    <s v="Check out our latest story on youtube!"/>
    <n v="1509"/>
    <n v="88"/>
    <n v="163"/>
    <n v="30180"/>
    <n v="29689"/>
    <n v="119"/>
    <x v="1"/>
    <s v="ModelYCampaign"/>
    <n v="38.712723658051686"/>
    <n v="1760"/>
  </r>
  <r>
    <s v="YouTube"/>
    <d v="2025-04-06T00:00:00"/>
    <s v="Carousel"/>
    <s v="Check out our latest carousel on youtube!"/>
    <n v="736"/>
    <n v="771"/>
    <n v="225"/>
    <n v="5152"/>
    <n v="4706"/>
    <n v="19"/>
    <x v="1"/>
    <s v="CybertruckLaunch"/>
    <n v="226.7760093167702"/>
    <n v="1732"/>
  </r>
  <r>
    <s v="Twitter"/>
    <d v="2025-02-16T00:00:00"/>
    <s v="Reel"/>
    <s v="Check out our latest reel on twitter!"/>
    <n v="1076"/>
    <n v="313"/>
    <n v="306"/>
    <n v="11836"/>
    <n v="11596"/>
    <n v="104"/>
    <x v="3"/>
    <s v="CybertruckLaunch"/>
    <n v="98.711557958769859"/>
    <n v="1695"/>
  </r>
  <r>
    <s v="YouTube"/>
    <d v="2024-11-18T00:00:00"/>
    <s v="Carousel"/>
    <s v="Check out our latest carousel on youtube!"/>
    <n v="1171"/>
    <n v="286"/>
    <n v="231"/>
    <n v="22249"/>
    <n v="21282"/>
    <n v="114"/>
    <x v="1"/>
    <s v="CybertruckLaunch"/>
    <n v="52.51247247067284"/>
    <n v="1688"/>
  </r>
  <r>
    <s v="Facebook"/>
    <d v="2025-01-03T00:00:00"/>
    <s v="Image"/>
    <s v="Check out our latest image on facebook!"/>
    <n v="947"/>
    <n v="338"/>
    <n v="350"/>
    <n v="10417"/>
    <n v="9730"/>
    <n v="34"/>
    <x v="0"/>
    <s v="SustainabilityDrive"/>
    <n v="112.1580109436498"/>
    <n v="1635"/>
  </r>
  <r>
    <s v="Facebook"/>
    <d v="2024-08-19T00:00:00"/>
    <s v="Text"/>
    <s v="Check out our latest text on facebook!"/>
    <n v="1257"/>
    <n v="19"/>
    <n v="351"/>
    <n v="12570"/>
    <n v="11660"/>
    <n v="194"/>
    <x v="3"/>
    <s v="ModelYCampaign"/>
    <n v="92.947494033412895"/>
    <n v="1627"/>
  </r>
  <r>
    <s v="Facebook"/>
    <d v="2024-08-19T00:00:00"/>
    <s v="Text"/>
    <s v="Check out our latest text on facebook!"/>
    <n v="1257"/>
    <n v="19"/>
    <n v="351"/>
    <n v="12570"/>
    <n v="11660"/>
    <n v="194"/>
    <x v="2"/>
    <s v="ModelYCampaign"/>
    <n v="92.947494033412895"/>
    <n v="1627"/>
  </r>
  <r>
    <s v="Facebook"/>
    <d v="2024-08-19T00:00:00"/>
    <s v="Text"/>
    <s v="Check out our latest text on facebook!"/>
    <n v="1257"/>
    <n v="19"/>
    <n v="351"/>
    <n v="12570"/>
    <n v="11660"/>
    <n v="194"/>
    <x v="1"/>
    <s v="ModelYCampaign"/>
    <n v="92.947494033412895"/>
    <n v="1627"/>
  </r>
  <r>
    <s v="Instagram"/>
    <d v="2024-08-15T00:00:00"/>
    <s v="Carousel"/>
    <s v="Check out our latest carousel on instagram!"/>
    <n v="914"/>
    <n v="464"/>
    <n v="246"/>
    <n v="11882"/>
    <n v="11500"/>
    <n v="282"/>
    <x v="3"/>
    <s v="SustainabilityDrive"/>
    <n v="98.32940582393536"/>
    <n v="1624"/>
  </r>
  <r>
    <s v="Instagram"/>
    <d v="2024-08-15T00:00:00"/>
    <s v="Carousel"/>
    <s v="Check out our latest carousel on instagram!"/>
    <n v="914"/>
    <n v="464"/>
    <n v="246"/>
    <n v="11882"/>
    <n v="11500"/>
    <n v="282"/>
    <x v="0"/>
    <s v="SustainabilityDrive"/>
    <n v="98.32940582393536"/>
    <n v="1624"/>
  </r>
  <r>
    <s v="Instagram"/>
    <d v="2024-08-15T00:00:00"/>
    <s v="Carousel"/>
    <s v="Check out our latest carousel on instagram!"/>
    <n v="914"/>
    <n v="464"/>
    <n v="246"/>
    <n v="11882"/>
    <n v="11500"/>
    <n v="282"/>
    <x v="2"/>
    <s v="SustainabilityDrive"/>
    <n v="98.32940582393536"/>
    <n v="1624"/>
  </r>
  <r>
    <s v="YouTube"/>
    <d v="2025-02-19T00:00:00"/>
    <s v="Image"/>
    <s v="Check out our latest image on youtube!"/>
    <n v="257"/>
    <n v="966"/>
    <n v="398"/>
    <n v="3341"/>
    <n v="2753"/>
    <n v="287"/>
    <x v="3"/>
    <s v="CybertruckLaunch"/>
    <n v="349.7006884166417"/>
    <n v="1621"/>
  </r>
  <r>
    <s v="Instagram"/>
    <d v="2024-06-23T00:00:00"/>
    <s v="Video"/>
    <s v="Check out our latest video on instagram!"/>
    <n v="1071"/>
    <n v="519"/>
    <n v="22"/>
    <n v="16065"/>
    <n v="15865"/>
    <n v="103"/>
    <x v="0"/>
    <s v="SustainabilityDrive"/>
    <n v="72.726423902894496"/>
    <n v="1612"/>
  </r>
  <r>
    <s v="Instagram"/>
    <d v="2024-07-29T00:00:00"/>
    <s v="Story"/>
    <s v="Check out our latest story on instagram!"/>
    <n v="498"/>
    <n v="701"/>
    <n v="412"/>
    <n v="4980"/>
    <n v="4185"/>
    <n v="185"/>
    <x v="3"/>
    <s v="Not available"/>
    <n v="234.60843373493975"/>
    <n v="1611"/>
  </r>
  <r>
    <s v="YouTube"/>
    <d v="2024-10-15T00:00:00"/>
    <s v="Video"/>
    <s v="Check out our latest video on youtube!"/>
    <n v="1094"/>
    <n v="472"/>
    <n v="21"/>
    <n v="9846"/>
    <n v="9609"/>
    <n v="112"/>
    <x v="1"/>
    <s v="Not available"/>
    <n v="118.66240097501523"/>
    <n v="1587"/>
  </r>
  <r>
    <s v="Instagram"/>
    <d v="2024-12-23T00:00:00"/>
    <s v="Image"/>
    <s v="Check out our latest image on instagram!"/>
    <n v="521"/>
    <n v="746"/>
    <n v="315"/>
    <n v="4168"/>
    <n v="3399"/>
    <n v="282"/>
    <x v="3"/>
    <s v="ModelYCampaign"/>
    <n v="280.31429942418424"/>
    <n v="1582"/>
  </r>
  <r>
    <s v="Twitter"/>
    <d v="2024-06-17T00:00:00"/>
    <s v="Image"/>
    <s v="Check out our latest image on twitter!"/>
    <n v="954"/>
    <n v="324"/>
    <n v="288"/>
    <n v="19080"/>
    <n v="18859"/>
    <n v="21"/>
    <x v="3"/>
    <s v="SustainabilityDrive"/>
    <n v="61.234276729559745"/>
    <n v="1566"/>
  </r>
  <r>
    <s v="Facebook"/>
    <d v="2024-11-17T00:00:00"/>
    <s v="Text"/>
    <s v="Check out our latest text on facebook!"/>
    <n v="880"/>
    <n v="297"/>
    <n v="345"/>
    <n v="12320"/>
    <n v="11978"/>
    <n v="238"/>
    <x v="0"/>
    <s v="Not available"/>
    <n v="94.833603896103895"/>
    <n v="1522"/>
  </r>
  <r>
    <s v="Facebook"/>
    <d v="2024-11-17T00:00:00"/>
    <s v="Text"/>
    <s v="Check out our latest text on facebook!"/>
    <n v="880"/>
    <n v="297"/>
    <n v="345"/>
    <n v="12320"/>
    <n v="11978"/>
    <n v="238"/>
    <x v="2"/>
    <s v="Not available"/>
    <n v="94.833603896103895"/>
    <n v="1522"/>
  </r>
  <r>
    <s v="Twitter"/>
    <d v="2024-06-24T00:00:00"/>
    <s v="Text"/>
    <s v="Check out our latest text on twitter!"/>
    <n v="941"/>
    <n v="121"/>
    <n v="458"/>
    <n v="14115"/>
    <n v="13838"/>
    <n v="87"/>
    <x v="1"/>
    <s v="CybertruckLaunch"/>
    <n v="82.773645058448466"/>
    <n v="1520"/>
  </r>
  <r>
    <s v="Facebook"/>
    <d v="2024-10-11T00:00:00"/>
    <s v="Image"/>
    <s v="Check out our latest image on facebook!"/>
    <n v="400"/>
    <n v="680"/>
    <n v="434"/>
    <n v="6400"/>
    <n v="5472"/>
    <n v="160"/>
    <x v="3"/>
    <s v="ModelYCampaign"/>
    <n v="182.5546875"/>
    <n v="1514"/>
  </r>
  <r>
    <s v="Instagram"/>
    <d v="2025-03-08T00:00:00"/>
    <s v="Reel"/>
    <s v="Check out our latest reel on instagram!"/>
    <n v="456"/>
    <n v="629"/>
    <n v="428"/>
    <n v="8208"/>
    <n v="7377"/>
    <n v="205"/>
    <x v="3"/>
    <s v="SustainabilityDrive"/>
    <n v="142.34283625730995"/>
    <n v="1513"/>
  </r>
  <r>
    <s v="Twitter"/>
    <d v="2025-05-02T00:00:00"/>
    <s v="Video"/>
    <s v="Check out our latest video on twitter!"/>
    <n v="1108"/>
    <n v="177"/>
    <n v="212"/>
    <n v="8864"/>
    <n v="8710"/>
    <n v="97"/>
    <x v="0"/>
    <s v="SustainabilityDrive"/>
    <n v="131.80843862815885"/>
    <n v="1497"/>
  </r>
  <r>
    <s v="YouTube"/>
    <d v="2025-02-24T00:00:00"/>
    <s v="Carousel"/>
    <s v="Check out our latest carousel on youtube!"/>
    <n v="804"/>
    <n v="639"/>
    <n v="43"/>
    <n v="4020"/>
    <n v="3144"/>
    <n v="11"/>
    <x v="1"/>
    <s v="Not available"/>
    <n v="290.63432835820896"/>
    <n v="1486"/>
  </r>
  <r>
    <s v="YouTube"/>
    <d v="2025-02-24T00:00:00"/>
    <s v="Carousel"/>
    <s v="Check out our latest carousel on youtube!"/>
    <n v="804"/>
    <n v="639"/>
    <n v="43"/>
    <n v="4020"/>
    <n v="3144"/>
    <n v="11"/>
    <x v="4"/>
    <s v="Not available"/>
    <n v="290.63432835820896"/>
    <n v="1486"/>
  </r>
  <r>
    <s v="YouTube"/>
    <d v="2025-01-18T00:00:00"/>
    <s v="Image"/>
    <s v="Check out our latest image on youtube!"/>
    <n v="1206"/>
    <n v="238"/>
    <n v="36"/>
    <n v="9648"/>
    <n v="9417"/>
    <n v="237"/>
    <x v="0"/>
    <s v="Not available"/>
    <n v="121.0976368159204"/>
    <n v="1480"/>
  </r>
  <r>
    <s v="Twitter"/>
    <d v="2024-08-26T00:00:00"/>
    <s v="Carousel"/>
    <s v="Check out our latest carousel on twitter!"/>
    <n v="929"/>
    <n v="192"/>
    <n v="322"/>
    <n v="16722"/>
    <n v="15996"/>
    <n v="145"/>
    <x v="1"/>
    <s v="FSDUpdate"/>
    <n v="69.869034804449228"/>
    <n v="1443"/>
  </r>
  <r>
    <s v="Twitter"/>
    <d v="2024-08-26T00:00:00"/>
    <s v="Carousel"/>
    <s v="Check out our latest carousel on twitter!"/>
    <n v="929"/>
    <n v="192"/>
    <n v="322"/>
    <n v="16722"/>
    <n v="15996"/>
    <n v="145"/>
    <x v="0"/>
    <s v="FSDUpdate"/>
    <n v="69.869034804449228"/>
    <n v="1443"/>
  </r>
  <r>
    <s v="Twitter"/>
    <d v="2024-08-26T00:00:00"/>
    <s v="Carousel"/>
    <s v="Check out our latest carousel on twitter!"/>
    <n v="929"/>
    <n v="192"/>
    <n v="322"/>
    <n v="16722"/>
    <n v="15996"/>
    <n v="145"/>
    <x v="2"/>
    <s v="FSDUpdate"/>
    <n v="69.869034804449228"/>
    <n v="1443"/>
  </r>
  <r>
    <s v="Facebook"/>
    <d v="2025-04-02T00:00:00"/>
    <s v="Video"/>
    <s v="Check out our latest video on facebook!"/>
    <n v="199"/>
    <n v="772"/>
    <n v="400"/>
    <n v="3582"/>
    <n v="2988"/>
    <n v="43"/>
    <x v="0"/>
    <s v="Not available"/>
    <n v="326.17252931323281"/>
    <n v="1371"/>
  </r>
  <r>
    <s v="Facebook"/>
    <d v="2024-06-17T00:00:00"/>
    <s v="Image"/>
    <s v="Check out our latest image on facebook!"/>
    <n v="1226"/>
    <n v="119"/>
    <n v="7"/>
    <n v="14712"/>
    <n v="14049"/>
    <n v="123"/>
    <x v="1"/>
    <s v="SustainabilityDrive"/>
    <n v="79.41476345840131"/>
    <n v="1352"/>
  </r>
  <r>
    <s v="Facebook"/>
    <d v="2025-05-13T00:00:00"/>
    <s v="Image"/>
    <s v="Check out our latest image on facebook!"/>
    <n v="602"/>
    <n v="594"/>
    <n v="156"/>
    <n v="4214"/>
    <n v="3363"/>
    <n v="164"/>
    <x v="0"/>
    <s v="FSDUpdate"/>
    <n v="277.25439012814428"/>
    <n v="1352"/>
  </r>
  <r>
    <s v="Instagram"/>
    <d v="2024-12-17T00:00:00"/>
    <s v="Story"/>
    <s v="Check out our latest story on instagram!"/>
    <n v="360"/>
    <n v="590"/>
    <n v="393"/>
    <n v="4680"/>
    <n v="4322"/>
    <n v="208"/>
    <x v="3"/>
    <s v="ModelYCampaign"/>
    <n v="249.64743589743588"/>
    <n v="1343"/>
  </r>
  <r>
    <s v="Twitter"/>
    <d v="2025-01-15T00:00:00"/>
    <s v="Reel"/>
    <s v="Check out our latest reel on twitter!"/>
    <n v="802"/>
    <n v="262"/>
    <n v="244"/>
    <n v="14436"/>
    <n v="14280"/>
    <n v="49"/>
    <x v="1"/>
    <s v="CybertruckLaunch"/>
    <n v="80.933083956774723"/>
    <n v="1308"/>
  </r>
  <r>
    <s v="Twitter"/>
    <d v="2024-07-18T00:00:00"/>
    <s v="Image"/>
    <s v="Check out our latest image on twitter!"/>
    <n v="827"/>
    <n v="77"/>
    <n v="402"/>
    <n v="14886"/>
    <n v="14129"/>
    <n v="254"/>
    <x v="1"/>
    <s v="ModelYCampaign"/>
    <n v="78.486497380088679"/>
    <n v="1306"/>
  </r>
  <r>
    <s v="Twitter"/>
    <d v="2024-11-07T00:00:00"/>
    <s v="Story"/>
    <s v="Check out our latest story on twitter!"/>
    <n v="1121"/>
    <n v="135"/>
    <n v="18"/>
    <n v="15694"/>
    <n v="14957"/>
    <n v="99"/>
    <x v="0"/>
    <s v="SustainabilityDrive"/>
    <n v="74.445648018350965"/>
    <n v="1274"/>
  </r>
  <r>
    <s v="Instagram"/>
    <d v="2024-07-24T00:00:00"/>
    <s v="Image"/>
    <s v="Check out our latest image on instagram!"/>
    <n v="725"/>
    <n v="88"/>
    <n v="428"/>
    <n v="14500"/>
    <n v="13637"/>
    <n v="200"/>
    <x v="3"/>
    <s v="FSDUpdate"/>
    <n v="80.57586206896552"/>
    <n v="1241"/>
  </r>
  <r>
    <s v="Instagram"/>
    <d v="2024-07-24T00:00:00"/>
    <s v="Image"/>
    <s v="Check out our latest image on instagram!"/>
    <n v="725"/>
    <n v="88"/>
    <n v="428"/>
    <n v="14500"/>
    <n v="13637"/>
    <n v="200"/>
    <x v="0"/>
    <s v="FSDUpdate"/>
    <n v="80.57586206896552"/>
    <n v="1241"/>
  </r>
  <r>
    <s v="Instagram"/>
    <d v="2024-07-24T00:00:00"/>
    <s v="Image"/>
    <s v="Check out our latest image on instagram!"/>
    <n v="725"/>
    <n v="88"/>
    <n v="428"/>
    <n v="14500"/>
    <n v="13637"/>
    <n v="200"/>
    <x v="2"/>
    <s v="FSDUpdate"/>
    <n v="80.57586206896552"/>
    <n v="1241"/>
  </r>
  <r>
    <s v="Twitter"/>
    <d v="2025-01-01T00:00:00"/>
    <s v="Video"/>
    <s v="Check out our latest video on twitter!"/>
    <n v="754"/>
    <n v="197"/>
    <n v="257"/>
    <n v="6786"/>
    <n v="6221"/>
    <n v="212"/>
    <x v="0"/>
    <s v="FSDUpdate"/>
    <n v="172.17064544650751"/>
    <n v="1208"/>
  </r>
  <r>
    <s v="Instagram"/>
    <d v="2025-03-04T00:00:00"/>
    <s v="Video"/>
    <s v="Check out our latest video on instagram!"/>
    <n v="432"/>
    <n v="624"/>
    <n v="123"/>
    <n v="6912"/>
    <n v="6259"/>
    <n v="79"/>
    <x v="3"/>
    <s v="SustainabilityDrive"/>
    <n v="169.03211805555554"/>
    <n v="1179"/>
  </r>
  <r>
    <s v="Facebook"/>
    <d v="2025-02-02T00:00:00"/>
    <s v="Story"/>
    <s v="Check out our latest story on facebook!"/>
    <n v="886"/>
    <n v="126"/>
    <n v="153"/>
    <n v="4430"/>
    <n v="4037"/>
    <n v="212"/>
    <x v="1"/>
    <s v="Not available"/>
    <n v="263.73589164785551"/>
    <n v="1165"/>
  </r>
  <r>
    <s v="Twitter"/>
    <d v="2024-09-17T00:00:00"/>
    <s v="Text"/>
    <s v="Check out our latest text on twitter!"/>
    <n v="571"/>
    <n v="190"/>
    <n v="352"/>
    <n v="9707"/>
    <n v="9418"/>
    <n v="231"/>
    <x v="0"/>
    <s v="SustainabilityDrive"/>
    <n v="120.36159472545586"/>
    <n v="1113"/>
  </r>
  <r>
    <s v="Instagram"/>
    <d v="2025-01-17T00:00:00"/>
    <s v="Reel"/>
    <s v="Check out our latest reel on instagram!"/>
    <n v="142"/>
    <n v="784"/>
    <n v="183"/>
    <n v="1704"/>
    <n v="995"/>
    <n v="154"/>
    <x v="3"/>
    <s v="SustainabilityDrive"/>
    <n v="685.65140845070425"/>
    <n v="1109"/>
  </r>
  <r>
    <s v="Twitter"/>
    <d v="2025-04-29T00:00:00"/>
    <s v="Story"/>
    <s v="Check out our latest story on twitter!"/>
    <n v="249"/>
    <n v="592"/>
    <n v="230"/>
    <n v="1494"/>
    <n v="1044"/>
    <n v="201"/>
    <x v="1"/>
    <s v="SustainabilityDrive"/>
    <n v="782.02811244979921"/>
    <n v="1071"/>
  </r>
  <r>
    <s v="Instagram"/>
    <d v="2024-06-02T00:00:00"/>
    <s v="Story"/>
    <s v="Check out our latest story on instagram!"/>
    <n v="84"/>
    <n v="897"/>
    <n v="85"/>
    <n v="588"/>
    <n v="8"/>
    <n v="12"/>
    <x v="1"/>
    <s v="Not available"/>
    <n v="1986.9897959183672"/>
    <n v="1066"/>
  </r>
  <r>
    <s v="Instagram"/>
    <d v="2024-11-07T00:00:00"/>
    <s v="Video"/>
    <s v="Check out our latest video on instagram!"/>
    <n v="129"/>
    <n v="643"/>
    <n v="136"/>
    <n v="1290"/>
    <n v="839"/>
    <n v="238"/>
    <x v="0"/>
    <s v="SustainabilityDrive"/>
    <n v="905.69767441860461"/>
    <n v="908"/>
  </r>
  <r>
    <s v="Instagram"/>
    <d v="2025-04-15T00:00:00"/>
    <s v="Reel"/>
    <s v="Check out our latest reel on instagram!"/>
    <n v="103"/>
    <n v="770"/>
    <n v="19"/>
    <n v="1030"/>
    <n v="410"/>
    <n v="262"/>
    <x v="0"/>
    <s v="SustainabilityDrive"/>
    <n v="1134.3203883495146"/>
    <n v="892"/>
  </r>
  <r>
    <s v="Twitter"/>
    <d v="2024-07-26T00:00:00"/>
    <s v="Carousel"/>
    <s v="Check out our latest carousel on twitter!"/>
    <n v="432"/>
    <n v="171"/>
    <n v="280"/>
    <n v="3024"/>
    <n v="2285"/>
    <n v="184"/>
    <x v="1"/>
    <s v="CybertruckLaunch"/>
    <n v="386.35912698412699"/>
    <n v="883"/>
  </r>
  <r>
    <s v="Facebook"/>
    <d v="2025-02-10T00:00:00"/>
    <s v="Text"/>
    <s v="Check out our latest text on facebook!"/>
    <n v="562"/>
    <n v="158"/>
    <n v="149"/>
    <n v="3372"/>
    <n v="2940"/>
    <n v="93"/>
    <x v="0"/>
    <s v="CybertruckLaunch"/>
    <n v="346.48576512455514"/>
    <n v="869"/>
  </r>
  <r>
    <s v="Instagram"/>
    <d v="2024-12-16T00:00:00"/>
    <s v="Text"/>
    <s v="Check out our latest text on instagram!"/>
    <n v="438"/>
    <n v="153"/>
    <n v="275"/>
    <n v="3066"/>
    <n v="2701"/>
    <n v="282"/>
    <x v="0"/>
    <s v="ModelYCampaign"/>
    <n v="381.0665362035225"/>
    <n v="866"/>
  </r>
  <r>
    <s v="Facebook"/>
    <d v="2024-07-07T00:00:00"/>
    <s v="Story"/>
    <s v="Check out our latest story on facebook!"/>
    <n v="302"/>
    <n v="47"/>
    <n v="430"/>
    <n v="5738"/>
    <n v="4890"/>
    <n v="25"/>
    <x v="0"/>
    <s v="SustainabilityDrive"/>
    <n v="203.61624259323807"/>
    <n v="779"/>
  </r>
  <r>
    <s v="Twitter"/>
    <d v="2025-03-29T00:00:00"/>
    <s v="Image"/>
    <s v="Check out our latest image on twitter!"/>
    <n v="305"/>
    <n v="187"/>
    <n v="243"/>
    <n v="4575"/>
    <n v="3704"/>
    <n v="234"/>
    <x v="3"/>
    <s v="FSDUpdate"/>
    <n v="255.37704918032787"/>
    <n v="735"/>
  </r>
  <r>
    <s v="Instagram"/>
    <d v="2024-06-14T00:00:00"/>
    <s v="Carousel"/>
    <s v="Check out our latest carousel on instagram!"/>
    <n v="498"/>
    <n v="38"/>
    <n v="42"/>
    <n v="4482"/>
    <n v="3647"/>
    <n v="32"/>
    <x v="3"/>
    <s v="CybertruckLaunch"/>
    <n v="260.67603748326638"/>
    <n v="578"/>
  </r>
  <r>
    <s v="Instagram"/>
    <d v="2024-06-12T00:00:00"/>
    <s v="Text"/>
    <s v="Check out our latest text on instagram!"/>
    <n v="246"/>
    <n v="149"/>
    <n v="130"/>
    <n v="4674"/>
    <n v="4390"/>
    <n v="217"/>
    <x v="3"/>
    <s v="FSDUpdate"/>
    <n v="249.96790757381257"/>
    <n v="525"/>
  </r>
  <r>
    <s v="YouTube"/>
    <d v="2024-10-02T00:00:00"/>
    <s v="Carousel"/>
    <s v="Check out our latest carousel on youtube!"/>
    <n v="80"/>
    <n v="362"/>
    <n v="80"/>
    <n v="1040"/>
    <n v="349"/>
    <n v="117"/>
    <x v="0"/>
    <s v="FSDUpdate"/>
    <n v="1123.4134615384614"/>
    <n v="522"/>
  </r>
  <r>
    <s v="Twitter"/>
    <d v="2024-11-22T00:00:00"/>
    <s v="Carousel"/>
    <s v="Check out our latest carousel on twitter!"/>
    <n v="53"/>
    <n v="81"/>
    <n v="379"/>
    <n v="954"/>
    <n v="7"/>
    <n v="148"/>
    <x v="0"/>
    <s v="FSDUpdate"/>
    <n v="1224.6855345911949"/>
    <n v="513"/>
  </r>
  <r>
    <s v="YouTube"/>
    <d v="2025-03-03T00:00:00"/>
    <s v="Reel"/>
    <s v="Check out our latest reel on youtube!"/>
    <n v="296"/>
    <n v="60"/>
    <n v="141"/>
    <n v="5624"/>
    <n v="5239"/>
    <n v="88"/>
    <x v="1"/>
    <s v="ModelYCampaign"/>
    <n v="207.74359886201992"/>
    <n v="497"/>
  </r>
  <r>
    <s v="Twitter"/>
    <d v="2025-01-30T00:00:00"/>
    <s v="Image"/>
    <s v="Check out our latest image on twitter!"/>
    <n v="59"/>
    <n v="163"/>
    <n v="93"/>
    <n v="590"/>
    <n v="475"/>
    <n v="293"/>
    <x v="0"/>
    <s v="ModelYCampaign"/>
    <n v="1980.2542372881355"/>
    <n v="31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s v="P061"/>
    <x v="0"/>
    <d v="2024-09-05T00:00:00"/>
    <x v="0"/>
    <x v="0"/>
    <n v="4886"/>
    <n v="983"/>
    <n v="409"/>
    <n v="43974"/>
    <n v="43239"/>
    <n v="65"/>
    <x v="0"/>
    <x v="0"/>
    <n v="26.569109018965751"/>
    <n v="6278"/>
  </r>
  <r>
    <s v="P144"/>
    <x v="1"/>
    <d v="2024-10-28T00:00:00"/>
    <x v="1"/>
    <x v="1"/>
    <n v="4929"/>
    <n v="749"/>
    <n v="452"/>
    <n v="93651"/>
    <n v="92810"/>
    <n v="66"/>
    <x v="1"/>
    <x v="1"/>
    <n v="12.475574206361918"/>
    <n v="6130"/>
  </r>
  <r>
    <s v="P164"/>
    <x v="1"/>
    <d v="2025-02-27T00:00:00"/>
    <x v="2"/>
    <x v="2"/>
    <n v="4934"/>
    <n v="971"/>
    <n v="156"/>
    <n v="39472"/>
    <n v="39025"/>
    <n v="169"/>
    <x v="0"/>
    <x v="1"/>
    <n v="29.599462910417511"/>
    <n v="6061"/>
  </r>
  <r>
    <s v="P164"/>
    <x v="1"/>
    <d v="2025-02-27T00:00:00"/>
    <x v="2"/>
    <x v="2"/>
    <n v="4934"/>
    <n v="971"/>
    <n v="156"/>
    <n v="39472"/>
    <n v="39025"/>
    <n v="169"/>
    <x v="2"/>
    <x v="1"/>
    <n v="29.599462910417511"/>
    <n v="6061"/>
  </r>
  <r>
    <s v="P261"/>
    <x v="2"/>
    <d v="2024-10-27T00:00:00"/>
    <x v="3"/>
    <x v="3"/>
    <n v="4853"/>
    <n v="837"/>
    <n v="340"/>
    <n v="72795"/>
    <n v="72237"/>
    <n v="170"/>
    <x v="1"/>
    <x v="0"/>
    <n v="16.049866062229547"/>
    <n v="6030"/>
  </r>
  <r>
    <s v="P244"/>
    <x v="1"/>
    <d v="2024-10-25T00:00:00"/>
    <x v="0"/>
    <x v="4"/>
    <n v="4661"/>
    <n v="935"/>
    <n v="433"/>
    <n v="23305"/>
    <n v="22583"/>
    <n v="63"/>
    <x v="3"/>
    <x v="2"/>
    <n v="50.133018665522421"/>
    <n v="6029"/>
  </r>
  <r>
    <s v="P215"/>
    <x v="3"/>
    <d v="2025-05-06T00:00:00"/>
    <x v="3"/>
    <x v="5"/>
    <n v="4872"/>
    <n v="925"/>
    <n v="176"/>
    <n v="82824"/>
    <n v="82543"/>
    <n v="89"/>
    <x v="1"/>
    <x v="3"/>
    <n v="14.106418429440742"/>
    <n v="5973"/>
  </r>
  <r>
    <s v="P106"/>
    <x v="2"/>
    <d v="2025-02-04T00:00:00"/>
    <x v="3"/>
    <x v="3"/>
    <n v="4619"/>
    <n v="821"/>
    <n v="499"/>
    <n v="69285"/>
    <n v="69141"/>
    <n v="298"/>
    <x v="0"/>
    <x v="1"/>
    <n v="16.862957350075774"/>
    <n v="5939"/>
  </r>
  <r>
    <s v="P161"/>
    <x v="0"/>
    <d v="2025-02-19T00:00:00"/>
    <x v="2"/>
    <x v="6"/>
    <n v="4671"/>
    <n v="876"/>
    <n v="366"/>
    <n v="51381"/>
    <n v="50565"/>
    <n v="245"/>
    <x v="0"/>
    <x v="1"/>
    <n v="22.738950195597596"/>
    <n v="5913"/>
  </r>
  <r>
    <s v="P228"/>
    <x v="2"/>
    <d v="2024-07-01T00:00:00"/>
    <x v="1"/>
    <x v="7"/>
    <n v="4808"/>
    <n v="772"/>
    <n v="320"/>
    <n v="72120"/>
    <n v="71696"/>
    <n v="195"/>
    <x v="1"/>
    <x v="0"/>
    <n v="16.200083194675539"/>
    <n v="5900"/>
  </r>
  <r>
    <s v="P279"/>
    <x v="1"/>
    <d v="2024-09-02T00:00:00"/>
    <x v="3"/>
    <x v="8"/>
    <n v="4905"/>
    <n v="845"/>
    <n v="129"/>
    <n v="98100"/>
    <n v="97772"/>
    <n v="279"/>
    <x v="0"/>
    <x v="3"/>
    <n v="11.909785932721713"/>
    <n v="5879"/>
  </r>
  <r>
    <s v="P288"/>
    <x v="1"/>
    <d v="2025-04-17T00:00:00"/>
    <x v="4"/>
    <x v="9"/>
    <n v="4780"/>
    <n v="691"/>
    <n v="380"/>
    <n v="86040"/>
    <n v="85743"/>
    <n v="262"/>
    <x v="3"/>
    <x v="2"/>
    <n v="13.579149232914924"/>
    <n v="5851"/>
  </r>
  <r>
    <s v="P229"/>
    <x v="2"/>
    <d v="2024-07-03T00:00:00"/>
    <x v="4"/>
    <x v="10"/>
    <n v="4799"/>
    <n v="694"/>
    <n v="289"/>
    <n v="43191"/>
    <n v="42228"/>
    <n v="118"/>
    <x v="0"/>
    <x v="4"/>
    <n v="27.050774466902826"/>
    <n v="5782"/>
  </r>
  <r>
    <s v="P217"/>
    <x v="3"/>
    <d v="2024-12-03T00:00:00"/>
    <x v="3"/>
    <x v="5"/>
    <n v="4606"/>
    <n v="931"/>
    <n v="230"/>
    <n v="92120"/>
    <n v="91440"/>
    <n v="56"/>
    <x v="0"/>
    <x v="4"/>
    <n v="12.682913590968303"/>
    <n v="5767"/>
  </r>
  <r>
    <s v="P107"/>
    <x v="1"/>
    <d v="2024-06-21T00:00:00"/>
    <x v="3"/>
    <x v="8"/>
    <n v="4832"/>
    <n v="893"/>
    <n v="10"/>
    <n v="91808"/>
    <n v="91296"/>
    <n v="182"/>
    <x v="0"/>
    <x v="4"/>
    <n v="12.726015162077379"/>
    <n v="5735"/>
  </r>
  <r>
    <s v="P131"/>
    <x v="2"/>
    <d v="2024-10-21T00:00:00"/>
    <x v="5"/>
    <x v="11"/>
    <n v="4840"/>
    <n v="658"/>
    <n v="211"/>
    <n v="43560"/>
    <n v="43225"/>
    <n v="57"/>
    <x v="3"/>
    <x v="2"/>
    <n v="26.821625344352618"/>
    <n v="5709"/>
  </r>
  <r>
    <s v="P167"/>
    <x v="2"/>
    <d v="2024-11-28T00:00:00"/>
    <x v="2"/>
    <x v="12"/>
    <n v="4771"/>
    <n v="818"/>
    <n v="56"/>
    <n v="57252"/>
    <n v="56378"/>
    <n v="150"/>
    <x v="3"/>
    <x v="4"/>
    <n v="20.407147348564241"/>
    <n v="5645"/>
  </r>
  <r>
    <s v="P152"/>
    <x v="3"/>
    <d v="2025-04-22T00:00:00"/>
    <x v="3"/>
    <x v="5"/>
    <n v="4804"/>
    <n v="550"/>
    <n v="270"/>
    <n v="28824"/>
    <n v="28370"/>
    <n v="47"/>
    <x v="1"/>
    <x v="1"/>
    <n v="40.53393005828476"/>
    <n v="5624"/>
  </r>
  <r>
    <s v="P272"/>
    <x v="2"/>
    <d v="2025-03-27T00:00:00"/>
    <x v="2"/>
    <x v="12"/>
    <n v="4941"/>
    <n v="414"/>
    <n v="266"/>
    <n v="39528"/>
    <n v="39154"/>
    <n v="217"/>
    <x v="0"/>
    <x v="2"/>
    <n v="29.557528840315726"/>
    <n v="5621"/>
  </r>
  <r>
    <s v="P021"/>
    <x v="2"/>
    <d v="2025-01-04T00:00:00"/>
    <x v="5"/>
    <x v="11"/>
    <n v="4838"/>
    <n v="640"/>
    <n v="128"/>
    <n v="72570"/>
    <n v="72396"/>
    <n v="83"/>
    <x v="3"/>
    <x v="1"/>
    <n v="16.099627945431997"/>
    <n v="5606"/>
  </r>
  <r>
    <s v="P197"/>
    <x v="0"/>
    <d v="2024-10-22T00:00:00"/>
    <x v="5"/>
    <x v="13"/>
    <n v="4782"/>
    <n v="721"/>
    <n v="82"/>
    <n v="86076"/>
    <n v="85339"/>
    <n v="19"/>
    <x v="1"/>
    <x v="0"/>
    <n v="13.573469956782379"/>
    <n v="5585"/>
  </r>
  <r>
    <s v="P101"/>
    <x v="1"/>
    <d v="2024-10-18T00:00:00"/>
    <x v="0"/>
    <x v="4"/>
    <n v="4450"/>
    <n v="983"/>
    <n v="143"/>
    <n v="75650"/>
    <n v="75008"/>
    <n v="12"/>
    <x v="3"/>
    <x v="2"/>
    <n v="15.44415069398546"/>
    <n v="5576"/>
  </r>
  <r>
    <s v="P191"/>
    <x v="1"/>
    <d v="2024-12-03T00:00:00"/>
    <x v="1"/>
    <x v="1"/>
    <n v="4285"/>
    <n v="886"/>
    <n v="376"/>
    <n v="55705"/>
    <n v="55556"/>
    <n v="51"/>
    <x v="3"/>
    <x v="2"/>
    <n v="20.973880262094966"/>
    <n v="5547"/>
  </r>
  <r>
    <s v="P278"/>
    <x v="0"/>
    <d v="2024-11-26T00:00:00"/>
    <x v="2"/>
    <x v="6"/>
    <n v="4516"/>
    <n v="836"/>
    <n v="169"/>
    <n v="49676"/>
    <n v="49257"/>
    <n v="282"/>
    <x v="1"/>
    <x v="1"/>
    <n v="23.519405749255174"/>
    <n v="5521"/>
  </r>
  <r>
    <s v="P238"/>
    <x v="0"/>
    <d v="2024-07-16T00:00:00"/>
    <x v="2"/>
    <x v="6"/>
    <n v="4725"/>
    <n v="400"/>
    <n v="362"/>
    <n v="75600"/>
    <n v="74927"/>
    <n v="43"/>
    <x v="3"/>
    <x v="1"/>
    <n v="15.454365079365079"/>
    <n v="5487"/>
  </r>
  <r>
    <s v="P150"/>
    <x v="1"/>
    <d v="2024-08-22T00:00:00"/>
    <x v="4"/>
    <x v="9"/>
    <n v="4295"/>
    <n v="853"/>
    <n v="325"/>
    <n v="85900"/>
    <n v="85788"/>
    <n v="290"/>
    <x v="0"/>
    <x v="1"/>
    <n v="13.60128055878929"/>
    <n v="5473"/>
  </r>
  <r>
    <s v="P118"/>
    <x v="3"/>
    <d v="2024-11-04T00:00:00"/>
    <x v="3"/>
    <x v="5"/>
    <n v="4551"/>
    <n v="714"/>
    <n v="207"/>
    <n v="68265"/>
    <n v="67754"/>
    <n v="57"/>
    <x v="3"/>
    <x v="2"/>
    <n v="17.114919797846628"/>
    <n v="5472"/>
  </r>
  <r>
    <s v="P067"/>
    <x v="3"/>
    <d v="2025-03-29T00:00:00"/>
    <x v="4"/>
    <x v="14"/>
    <n v="4712"/>
    <n v="568"/>
    <n v="127"/>
    <n v="84816"/>
    <n v="84691"/>
    <n v="100"/>
    <x v="1"/>
    <x v="2"/>
    <n v="13.775113186191284"/>
    <n v="5407"/>
  </r>
  <r>
    <s v="P097"/>
    <x v="2"/>
    <d v="2024-08-13T00:00:00"/>
    <x v="3"/>
    <x v="3"/>
    <n v="4739"/>
    <n v="527"/>
    <n v="135"/>
    <n v="61607"/>
    <n v="61333"/>
    <n v="36"/>
    <x v="0"/>
    <x v="3"/>
    <n v="18.964565714934992"/>
    <n v="5401"/>
  </r>
  <r>
    <s v="P097"/>
    <x v="2"/>
    <d v="2024-08-13T00:00:00"/>
    <x v="3"/>
    <x v="3"/>
    <n v="4739"/>
    <n v="527"/>
    <n v="135"/>
    <n v="61607"/>
    <n v="61333"/>
    <n v="36"/>
    <x v="2"/>
    <x v="3"/>
    <n v="18.964565714934992"/>
    <n v="5401"/>
  </r>
  <r>
    <s v="P241"/>
    <x v="3"/>
    <d v="2025-01-18T00:00:00"/>
    <x v="1"/>
    <x v="15"/>
    <n v="4321"/>
    <n v="874"/>
    <n v="172"/>
    <n v="30247"/>
    <n v="29254"/>
    <n v="122"/>
    <x v="0"/>
    <x v="1"/>
    <n v="38.626971269878005"/>
    <n v="5367"/>
  </r>
  <r>
    <s v="P280"/>
    <x v="1"/>
    <d v="2024-10-21T00:00:00"/>
    <x v="0"/>
    <x v="4"/>
    <n v="4275"/>
    <n v="680"/>
    <n v="385"/>
    <n v="64125"/>
    <n v="63650"/>
    <n v="104"/>
    <x v="1"/>
    <x v="1"/>
    <n v="18.219883040935674"/>
    <n v="5340"/>
  </r>
  <r>
    <s v="P280"/>
    <x v="1"/>
    <d v="2024-10-21T00:00:00"/>
    <x v="0"/>
    <x v="4"/>
    <n v="4275"/>
    <n v="680"/>
    <n v="385"/>
    <n v="64125"/>
    <n v="63650"/>
    <n v="104"/>
    <x v="0"/>
    <x v="1"/>
    <n v="18.219883040935674"/>
    <n v="5340"/>
  </r>
  <r>
    <s v="P280"/>
    <x v="1"/>
    <d v="2024-10-21T00:00:00"/>
    <x v="0"/>
    <x v="4"/>
    <n v="4275"/>
    <n v="680"/>
    <n v="385"/>
    <n v="64125"/>
    <n v="63650"/>
    <n v="104"/>
    <x v="2"/>
    <x v="1"/>
    <n v="18.219883040935674"/>
    <n v="5340"/>
  </r>
  <r>
    <s v="P260"/>
    <x v="2"/>
    <d v="2025-02-12T00:00:00"/>
    <x v="1"/>
    <x v="7"/>
    <n v="4332"/>
    <n v="771"/>
    <n v="219"/>
    <n v="60648"/>
    <n v="60397"/>
    <n v="10"/>
    <x v="0"/>
    <x v="2"/>
    <n v="19.264444004748714"/>
    <n v="5322"/>
  </r>
  <r>
    <s v="P260"/>
    <x v="2"/>
    <d v="2025-02-12T00:00:00"/>
    <x v="1"/>
    <x v="7"/>
    <n v="4332"/>
    <n v="771"/>
    <n v="219"/>
    <n v="60648"/>
    <n v="60397"/>
    <n v="10"/>
    <x v="1"/>
    <x v="2"/>
    <n v="19.264444004748714"/>
    <n v="5322"/>
  </r>
  <r>
    <s v="P260"/>
    <x v="2"/>
    <d v="2025-02-12T00:00:00"/>
    <x v="1"/>
    <x v="7"/>
    <n v="4332"/>
    <n v="771"/>
    <n v="219"/>
    <n v="60648"/>
    <n v="60397"/>
    <n v="10"/>
    <x v="4"/>
    <x v="2"/>
    <n v="19.264444004748714"/>
    <n v="5322"/>
  </r>
  <r>
    <s v="P040"/>
    <x v="0"/>
    <d v="2025-03-07T00:00:00"/>
    <x v="3"/>
    <x v="16"/>
    <n v="4750"/>
    <n v="151"/>
    <n v="415"/>
    <n v="38000"/>
    <n v="37792"/>
    <n v="299"/>
    <x v="1"/>
    <x v="1"/>
    <n v="30.746052631578948"/>
    <n v="5316"/>
  </r>
  <r>
    <s v="P193"/>
    <x v="0"/>
    <d v="2024-09-11T00:00:00"/>
    <x v="3"/>
    <x v="16"/>
    <n v="4858"/>
    <n v="317"/>
    <n v="129"/>
    <n v="53438"/>
    <n v="52687"/>
    <n v="223"/>
    <x v="1"/>
    <x v="2"/>
    <n v="21.863655076911559"/>
    <n v="5304"/>
  </r>
  <r>
    <s v="P242"/>
    <x v="3"/>
    <d v="2024-07-07T00:00:00"/>
    <x v="5"/>
    <x v="17"/>
    <n v="4767"/>
    <n v="190"/>
    <n v="340"/>
    <n v="28602"/>
    <n v="28044"/>
    <n v="210"/>
    <x v="1"/>
    <x v="2"/>
    <n v="40.848542059995808"/>
    <n v="5297"/>
  </r>
  <r>
    <s v="P108"/>
    <x v="0"/>
    <d v="2025-03-25T00:00:00"/>
    <x v="0"/>
    <x v="0"/>
    <n v="4050"/>
    <n v="871"/>
    <n v="347"/>
    <n v="52650"/>
    <n v="51755"/>
    <n v="209"/>
    <x v="0"/>
    <x v="3"/>
    <n v="22.190883190883191"/>
    <n v="5268"/>
  </r>
  <r>
    <s v="P300"/>
    <x v="0"/>
    <d v="2024-08-31T00:00:00"/>
    <x v="4"/>
    <x v="18"/>
    <n v="4494"/>
    <n v="717"/>
    <n v="45"/>
    <n v="62916"/>
    <n v="62688"/>
    <n v="191"/>
    <x v="0"/>
    <x v="0"/>
    <n v="18.569998092695023"/>
    <n v="5256"/>
  </r>
  <r>
    <s v="P300"/>
    <x v="0"/>
    <d v="2024-08-31T00:00:00"/>
    <x v="4"/>
    <x v="18"/>
    <n v="4494"/>
    <n v="717"/>
    <n v="45"/>
    <n v="62916"/>
    <n v="62688"/>
    <n v="191"/>
    <x v="1"/>
    <x v="0"/>
    <n v="18.569998092695023"/>
    <n v="5256"/>
  </r>
  <r>
    <s v="P300"/>
    <x v="0"/>
    <d v="2024-08-31T00:00:00"/>
    <x v="4"/>
    <x v="18"/>
    <n v="4494"/>
    <n v="717"/>
    <n v="45"/>
    <n v="62916"/>
    <n v="62688"/>
    <n v="191"/>
    <x v="4"/>
    <x v="0"/>
    <n v="18.569998092695023"/>
    <n v="5256"/>
  </r>
  <r>
    <s v="P239"/>
    <x v="1"/>
    <d v="2025-02-24T00:00:00"/>
    <x v="2"/>
    <x v="2"/>
    <n v="4188"/>
    <n v="942"/>
    <n v="118"/>
    <n v="20940"/>
    <n v="20471"/>
    <n v="102"/>
    <x v="3"/>
    <x v="4"/>
    <n v="55.795128939828082"/>
    <n v="5248"/>
  </r>
  <r>
    <s v="P277"/>
    <x v="3"/>
    <d v="2025-04-06T00:00:00"/>
    <x v="3"/>
    <x v="5"/>
    <n v="4236"/>
    <n v="711"/>
    <n v="298"/>
    <n v="21180"/>
    <n v="20516"/>
    <n v="238"/>
    <x v="3"/>
    <x v="0"/>
    <n v="55.1628895184136"/>
    <n v="5245"/>
  </r>
  <r>
    <s v="P182"/>
    <x v="3"/>
    <d v="2024-07-31T00:00:00"/>
    <x v="3"/>
    <x v="5"/>
    <n v="4689"/>
    <n v="134"/>
    <n v="403"/>
    <n v="51579"/>
    <n v="50924"/>
    <n v="173"/>
    <x v="0"/>
    <x v="1"/>
    <n v="22.65166055953004"/>
    <n v="5226"/>
  </r>
  <r>
    <s v="P163"/>
    <x v="2"/>
    <d v="2025-04-08T00:00:00"/>
    <x v="3"/>
    <x v="3"/>
    <n v="4501"/>
    <n v="375"/>
    <n v="323"/>
    <n v="22505"/>
    <n v="21836"/>
    <n v="132"/>
    <x v="0"/>
    <x v="3"/>
    <n v="51.91512997111753"/>
    <n v="5199"/>
  </r>
  <r>
    <s v="P010"/>
    <x v="3"/>
    <d v="2025-03-11T00:00:00"/>
    <x v="3"/>
    <x v="5"/>
    <n v="4241"/>
    <n v="902"/>
    <n v="47"/>
    <n v="72097"/>
    <n v="71598"/>
    <n v="167"/>
    <x v="0"/>
    <x v="3"/>
    <n v="16.205251258720889"/>
    <n v="5190"/>
  </r>
  <r>
    <s v="P036"/>
    <x v="2"/>
    <d v="2025-04-19T00:00:00"/>
    <x v="1"/>
    <x v="7"/>
    <n v="4518"/>
    <n v="285"/>
    <n v="383"/>
    <n v="67770"/>
    <n v="67621"/>
    <n v="31"/>
    <x v="1"/>
    <x v="3"/>
    <n v="17.239929172200089"/>
    <n v="5186"/>
  </r>
  <r>
    <s v="P294"/>
    <x v="3"/>
    <d v="2024-06-19T00:00:00"/>
    <x v="4"/>
    <x v="14"/>
    <n v="4731"/>
    <n v="173"/>
    <n v="276"/>
    <n v="28386"/>
    <n v="28185"/>
    <n v="89"/>
    <x v="1"/>
    <x v="2"/>
    <n v="41.159374339463113"/>
    <n v="5180"/>
  </r>
  <r>
    <s v="P114"/>
    <x v="0"/>
    <d v="2024-11-14T00:00:00"/>
    <x v="1"/>
    <x v="19"/>
    <n v="4000"/>
    <n v="689"/>
    <n v="488"/>
    <n v="40000"/>
    <n v="39569"/>
    <n v="44"/>
    <x v="3"/>
    <x v="0"/>
    <n v="29.208749999999998"/>
    <n v="5177"/>
  </r>
  <r>
    <s v="P092"/>
    <x v="0"/>
    <d v="2024-10-21T00:00:00"/>
    <x v="1"/>
    <x v="19"/>
    <n v="3801"/>
    <n v="967"/>
    <n v="401"/>
    <n v="38010"/>
    <n v="37625"/>
    <n v="236"/>
    <x v="3"/>
    <x v="2"/>
    <n v="30.737963693764797"/>
    <n v="5169"/>
  </r>
  <r>
    <s v="P157"/>
    <x v="1"/>
    <d v="2024-07-23T00:00:00"/>
    <x v="1"/>
    <x v="1"/>
    <n v="4775"/>
    <n v="173"/>
    <n v="206"/>
    <n v="47750"/>
    <n v="47544"/>
    <n v="187"/>
    <x v="3"/>
    <x v="3"/>
    <n v="24.468062827225133"/>
    <n v="5154"/>
  </r>
  <r>
    <s v="P123"/>
    <x v="2"/>
    <d v="2024-06-14T00:00:00"/>
    <x v="1"/>
    <x v="7"/>
    <n v="4363"/>
    <n v="649"/>
    <n v="140"/>
    <n v="21815"/>
    <n v="21481"/>
    <n v="157"/>
    <x v="1"/>
    <x v="0"/>
    <n v="53.55718542287417"/>
    <n v="5152"/>
  </r>
  <r>
    <s v="P194"/>
    <x v="1"/>
    <d v="2024-10-02T00:00:00"/>
    <x v="1"/>
    <x v="1"/>
    <n v="4350"/>
    <n v="771"/>
    <n v="7"/>
    <n v="60900"/>
    <n v="60592"/>
    <n v="195"/>
    <x v="1"/>
    <x v="0"/>
    <n v="19.184729064039409"/>
    <n v="5128"/>
  </r>
  <r>
    <s v="P266"/>
    <x v="3"/>
    <d v="2024-11-25T00:00:00"/>
    <x v="1"/>
    <x v="15"/>
    <n v="4182"/>
    <n v="640"/>
    <n v="240"/>
    <n v="50184"/>
    <n v="49351"/>
    <n v="10"/>
    <x v="0"/>
    <x v="2"/>
    <n v="23.281324725011956"/>
    <n v="5062"/>
  </r>
  <r>
    <s v="P245"/>
    <x v="3"/>
    <d v="2025-01-12T00:00:00"/>
    <x v="5"/>
    <x v="17"/>
    <n v="4134"/>
    <n v="824"/>
    <n v="99"/>
    <n v="41340"/>
    <n v="41050"/>
    <n v="177"/>
    <x v="1"/>
    <x v="0"/>
    <n v="28.261973875181422"/>
    <n v="5057"/>
  </r>
  <r>
    <s v="P269"/>
    <x v="2"/>
    <d v="2024-11-05T00:00:00"/>
    <x v="0"/>
    <x v="20"/>
    <n v="4561"/>
    <n v="51"/>
    <n v="441"/>
    <n v="22805"/>
    <n v="21890"/>
    <n v="45"/>
    <x v="0"/>
    <x v="3"/>
    <n v="51.232185924139444"/>
    <n v="5053"/>
  </r>
  <r>
    <s v="P298"/>
    <x v="3"/>
    <d v="2024-10-24T00:00:00"/>
    <x v="3"/>
    <x v="5"/>
    <n v="4303"/>
    <n v="451"/>
    <n v="286"/>
    <n v="86060"/>
    <n v="85823"/>
    <n v="14"/>
    <x v="0"/>
    <x v="2"/>
    <n v="13.575993492911921"/>
    <n v="5040"/>
  </r>
  <r>
    <s v="P073"/>
    <x v="3"/>
    <d v="2024-10-18T00:00:00"/>
    <x v="1"/>
    <x v="15"/>
    <n v="4126"/>
    <n v="426"/>
    <n v="486"/>
    <n v="78394"/>
    <n v="77798"/>
    <n v="88"/>
    <x v="3"/>
    <x v="1"/>
    <n v="14.903564048269001"/>
    <n v="5038"/>
  </r>
  <r>
    <s v="P291"/>
    <x v="3"/>
    <d v="2024-11-06T00:00:00"/>
    <x v="0"/>
    <x v="21"/>
    <n v="4663"/>
    <n v="145"/>
    <n v="225"/>
    <n v="69945"/>
    <n v="69596"/>
    <n v="35"/>
    <x v="1"/>
    <x v="1"/>
    <n v="16.703838730431052"/>
    <n v="5033"/>
  </r>
  <r>
    <s v="P225"/>
    <x v="0"/>
    <d v="2024-06-20T00:00:00"/>
    <x v="4"/>
    <x v="18"/>
    <n v="4672"/>
    <n v="325"/>
    <n v="32"/>
    <n v="88768"/>
    <n v="87833"/>
    <n v="118"/>
    <x v="1"/>
    <x v="4"/>
    <n v="13.161837599134824"/>
    <n v="5029"/>
  </r>
  <r>
    <s v="P113"/>
    <x v="0"/>
    <d v="2024-10-02T00:00:00"/>
    <x v="4"/>
    <x v="18"/>
    <n v="4419"/>
    <n v="236"/>
    <n v="369"/>
    <n v="44190"/>
    <n v="43582"/>
    <n v="10"/>
    <x v="1"/>
    <x v="0"/>
    <n v="26.439239646978955"/>
    <n v="5024"/>
  </r>
  <r>
    <s v="P017"/>
    <x v="3"/>
    <d v="2025-05-05T00:00:00"/>
    <x v="2"/>
    <x v="22"/>
    <n v="4441"/>
    <n v="511"/>
    <n v="70"/>
    <n v="53292"/>
    <n v="53082"/>
    <n v="159"/>
    <x v="1"/>
    <x v="1"/>
    <n v="21.923553253771672"/>
    <n v="5022"/>
  </r>
  <r>
    <s v="P250"/>
    <x v="3"/>
    <d v="2024-06-22T00:00:00"/>
    <x v="5"/>
    <x v="17"/>
    <n v="3813"/>
    <n v="935"/>
    <n v="274"/>
    <n v="68634"/>
    <n v="68488"/>
    <n v="251"/>
    <x v="3"/>
    <x v="4"/>
    <n v="17.022904100008741"/>
    <n v="5022"/>
  </r>
  <r>
    <s v="P268"/>
    <x v="2"/>
    <d v="2025-04-13T00:00:00"/>
    <x v="5"/>
    <x v="11"/>
    <n v="4579"/>
    <n v="125"/>
    <n v="300"/>
    <n v="59527"/>
    <n v="59400"/>
    <n v="269"/>
    <x v="1"/>
    <x v="0"/>
    <n v="19.627227980580241"/>
    <n v="5004"/>
  </r>
  <r>
    <s v="P009"/>
    <x v="3"/>
    <d v="2024-08-30T00:00:00"/>
    <x v="2"/>
    <x v="22"/>
    <n v="3784"/>
    <n v="808"/>
    <n v="404"/>
    <n v="56760"/>
    <n v="56343"/>
    <n v="131"/>
    <x v="0"/>
    <x v="3"/>
    <n v="20.584038054968289"/>
    <n v="4996"/>
  </r>
  <r>
    <s v="P221"/>
    <x v="3"/>
    <d v="2025-03-23T00:00:00"/>
    <x v="0"/>
    <x v="21"/>
    <n v="4453"/>
    <n v="111"/>
    <n v="420"/>
    <n v="31171"/>
    <n v="30565"/>
    <n v="23"/>
    <x v="0"/>
    <x v="4"/>
    <n v="37.481954380674345"/>
    <n v="4984"/>
  </r>
  <r>
    <s v="P002"/>
    <x v="0"/>
    <d v="2025-04-03T00:00:00"/>
    <x v="2"/>
    <x v="6"/>
    <n v="4054"/>
    <n v="389"/>
    <n v="493"/>
    <n v="64864"/>
    <n v="64383"/>
    <n v="117"/>
    <x v="0"/>
    <x v="3"/>
    <n v="18.01230266403552"/>
    <n v="4936"/>
  </r>
  <r>
    <s v="P002"/>
    <x v="0"/>
    <d v="2025-04-03T00:00:00"/>
    <x v="2"/>
    <x v="6"/>
    <n v="4054"/>
    <n v="389"/>
    <n v="493"/>
    <n v="64864"/>
    <n v="64383"/>
    <n v="117"/>
    <x v="4"/>
    <x v="3"/>
    <n v="18.01230266403552"/>
    <n v="4936"/>
  </r>
  <r>
    <s v="P014"/>
    <x v="3"/>
    <d v="2025-02-16T00:00:00"/>
    <x v="1"/>
    <x v="15"/>
    <n v="4242"/>
    <n v="555"/>
    <n v="131"/>
    <n v="33936"/>
    <n v="33802"/>
    <n v="265"/>
    <x v="3"/>
    <x v="4"/>
    <n v="34.428041018387553"/>
    <n v="4928"/>
  </r>
  <r>
    <s v="P148"/>
    <x v="2"/>
    <d v="2025-04-15T00:00:00"/>
    <x v="0"/>
    <x v="20"/>
    <n v="4133"/>
    <n v="466"/>
    <n v="327"/>
    <n v="24798"/>
    <n v="24620"/>
    <n v="176"/>
    <x v="1"/>
    <x v="1"/>
    <n v="47.114686668279703"/>
    <n v="4926"/>
  </r>
  <r>
    <s v="P090"/>
    <x v="2"/>
    <d v="2024-06-03T00:00:00"/>
    <x v="3"/>
    <x v="3"/>
    <n v="3861"/>
    <n v="960"/>
    <n v="101"/>
    <n v="69498"/>
    <n v="68817"/>
    <n v="297"/>
    <x v="0"/>
    <x v="1"/>
    <n v="16.811275144608476"/>
    <n v="4922"/>
  </r>
  <r>
    <s v="P020"/>
    <x v="2"/>
    <d v="2024-09-09T00:00:00"/>
    <x v="4"/>
    <x v="10"/>
    <n v="4054"/>
    <n v="488"/>
    <n v="373"/>
    <n v="77026"/>
    <n v="76881"/>
    <n v="25"/>
    <x v="0"/>
    <x v="0"/>
    <n v="15.168254874977281"/>
    <n v="4915"/>
  </r>
  <r>
    <s v="P135"/>
    <x v="3"/>
    <d v="2024-11-28T00:00:00"/>
    <x v="2"/>
    <x v="22"/>
    <n v="4213"/>
    <n v="253"/>
    <n v="434"/>
    <n v="75834"/>
    <n v="75437"/>
    <n v="272"/>
    <x v="3"/>
    <x v="1"/>
    <n v="15.406677743492365"/>
    <n v="4900"/>
  </r>
  <r>
    <s v="P207"/>
    <x v="0"/>
    <d v="2024-12-29T00:00:00"/>
    <x v="4"/>
    <x v="18"/>
    <n v="4274"/>
    <n v="340"/>
    <n v="281"/>
    <n v="34192"/>
    <n v="33446"/>
    <n v="129"/>
    <x v="0"/>
    <x v="2"/>
    <n v="34.170273748245201"/>
    <n v="4895"/>
  </r>
  <r>
    <s v="P207"/>
    <x v="0"/>
    <d v="2024-12-29T00:00:00"/>
    <x v="4"/>
    <x v="18"/>
    <n v="4274"/>
    <n v="340"/>
    <n v="281"/>
    <n v="34192"/>
    <n v="33446"/>
    <n v="129"/>
    <x v="5"/>
    <x v="2"/>
    <n v="34.170273748245201"/>
    <n v="4895"/>
  </r>
  <r>
    <s v="P125"/>
    <x v="0"/>
    <d v="2024-09-08T00:00:00"/>
    <x v="4"/>
    <x v="18"/>
    <n v="3811"/>
    <n v="866"/>
    <n v="216"/>
    <n v="34299"/>
    <n v="34088"/>
    <n v="233"/>
    <x v="0"/>
    <x v="1"/>
    <n v="34.063675325811246"/>
    <n v="4893"/>
  </r>
  <r>
    <s v="P285"/>
    <x v="1"/>
    <d v="2024-07-18T00:00:00"/>
    <x v="2"/>
    <x v="2"/>
    <n v="4021"/>
    <n v="794"/>
    <n v="77"/>
    <n v="36189"/>
    <n v="35505"/>
    <n v="174"/>
    <x v="1"/>
    <x v="4"/>
    <n v="32.284672137942472"/>
    <n v="4892"/>
  </r>
  <r>
    <s v="P243"/>
    <x v="0"/>
    <d v="2025-03-06T00:00:00"/>
    <x v="3"/>
    <x v="16"/>
    <n v="3592"/>
    <n v="911"/>
    <n v="375"/>
    <n v="50288"/>
    <n v="49490"/>
    <n v="32"/>
    <x v="3"/>
    <x v="1"/>
    <n v="23.233176901049951"/>
    <n v="4878"/>
  </r>
  <r>
    <s v="P179"/>
    <x v="3"/>
    <d v="2024-07-15T00:00:00"/>
    <x v="4"/>
    <x v="14"/>
    <n v="3796"/>
    <n v="667"/>
    <n v="395"/>
    <n v="64532"/>
    <n v="63550"/>
    <n v="292"/>
    <x v="0"/>
    <x v="4"/>
    <n v="18.104971177090437"/>
    <n v="4858"/>
  </r>
  <r>
    <s v="P024"/>
    <x v="3"/>
    <d v="2025-01-23T00:00:00"/>
    <x v="0"/>
    <x v="21"/>
    <n v="3961"/>
    <n v="761"/>
    <n v="131"/>
    <n v="67337"/>
    <n v="66615"/>
    <n v="161"/>
    <x v="3"/>
    <x v="2"/>
    <n v="17.350787828385585"/>
    <n v="4853"/>
  </r>
  <r>
    <s v="P237"/>
    <x v="2"/>
    <d v="2024-10-22T00:00:00"/>
    <x v="1"/>
    <x v="7"/>
    <n v="3770"/>
    <n v="917"/>
    <n v="129"/>
    <n v="71630"/>
    <n v="71322"/>
    <n v="76"/>
    <x v="3"/>
    <x v="0"/>
    <n v="16.310903252827028"/>
    <n v="4816"/>
  </r>
  <r>
    <s v="P099"/>
    <x v="1"/>
    <d v="2024-07-02T00:00:00"/>
    <x v="4"/>
    <x v="9"/>
    <n v="4171"/>
    <n v="548"/>
    <n v="86"/>
    <n v="66736"/>
    <n v="66634"/>
    <n v="173"/>
    <x v="3"/>
    <x v="2"/>
    <n v="17.50704267561736"/>
    <n v="4805"/>
  </r>
  <r>
    <s v="P085"/>
    <x v="2"/>
    <d v="2025-04-19T00:00:00"/>
    <x v="3"/>
    <x v="3"/>
    <n v="4177"/>
    <n v="569"/>
    <n v="55"/>
    <n v="25062"/>
    <n v="24847"/>
    <n v="230"/>
    <x v="3"/>
    <x v="0"/>
    <n v="46.618386401723725"/>
    <n v="4801"/>
  </r>
  <r>
    <s v="P205"/>
    <x v="0"/>
    <d v="2025-04-24T00:00:00"/>
    <x v="0"/>
    <x v="0"/>
    <n v="3820"/>
    <n v="697"/>
    <n v="268"/>
    <n v="45840"/>
    <n v="45631"/>
    <n v="171"/>
    <x v="0"/>
    <x v="1"/>
    <n v="25.487565445026178"/>
    <n v="4785"/>
  </r>
  <r>
    <s v="P205"/>
    <x v="0"/>
    <d v="2025-04-24T00:00:00"/>
    <x v="0"/>
    <x v="0"/>
    <n v="3820"/>
    <n v="697"/>
    <n v="268"/>
    <n v="45840"/>
    <n v="45631"/>
    <n v="171"/>
    <x v="5"/>
    <x v="1"/>
    <n v="25.487565445026178"/>
    <n v="4785"/>
  </r>
  <r>
    <s v="P212"/>
    <x v="1"/>
    <d v="2025-03-03T00:00:00"/>
    <x v="0"/>
    <x v="4"/>
    <n v="3874"/>
    <n v="884"/>
    <n v="19"/>
    <n v="38740"/>
    <n v="38552"/>
    <n v="219"/>
    <x v="0"/>
    <x v="3"/>
    <n v="30.158750645327828"/>
    <n v="4777"/>
  </r>
  <r>
    <s v="P156"/>
    <x v="3"/>
    <d v="2024-10-22T00:00:00"/>
    <x v="4"/>
    <x v="14"/>
    <n v="3352"/>
    <n v="941"/>
    <n v="482"/>
    <n v="43576"/>
    <n v="43338"/>
    <n v="240"/>
    <x v="3"/>
    <x v="3"/>
    <n v="26.81177712502295"/>
    <n v="4775"/>
  </r>
  <r>
    <s v="P110"/>
    <x v="2"/>
    <d v="2024-07-29T00:00:00"/>
    <x v="5"/>
    <x v="11"/>
    <n v="3523"/>
    <n v="753"/>
    <n v="482"/>
    <n v="38753"/>
    <n v="38579"/>
    <n v="270"/>
    <x v="1"/>
    <x v="3"/>
    <n v="30.148633654168709"/>
    <n v="4758"/>
  </r>
  <r>
    <s v="P185"/>
    <x v="2"/>
    <d v="2025-01-11T00:00:00"/>
    <x v="4"/>
    <x v="10"/>
    <n v="4523"/>
    <n v="61"/>
    <n v="157"/>
    <n v="49753"/>
    <n v="49329"/>
    <n v="71"/>
    <x v="1"/>
    <x v="4"/>
    <n v="23.483006049886438"/>
    <n v="4741"/>
  </r>
  <r>
    <s v="P063"/>
    <x v="0"/>
    <d v="2024-07-31T00:00:00"/>
    <x v="4"/>
    <x v="18"/>
    <n v="4507"/>
    <n v="217"/>
    <n v="13"/>
    <n v="90140"/>
    <n v="89591"/>
    <n v="125"/>
    <x v="3"/>
    <x v="2"/>
    <n v="12.961504326603063"/>
    <n v="4737"/>
  </r>
  <r>
    <s v="P186"/>
    <x v="3"/>
    <d v="2024-08-24T00:00:00"/>
    <x v="4"/>
    <x v="14"/>
    <n v="4292"/>
    <n v="51"/>
    <n v="392"/>
    <n v="55796"/>
    <n v="54826"/>
    <n v="264"/>
    <x v="1"/>
    <x v="2"/>
    <n v="20.93967309484551"/>
    <n v="4735"/>
  </r>
  <r>
    <s v="P005"/>
    <x v="1"/>
    <d v="2024-06-26T00:00:00"/>
    <x v="5"/>
    <x v="23"/>
    <n v="3557"/>
    <n v="687"/>
    <n v="424"/>
    <n v="71140"/>
    <n v="70701"/>
    <n v="224"/>
    <x v="1"/>
    <x v="0"/>
    <n v="16.423249929716054"/>
    <n v="4668"/>
  </r>
  <r>
    <s v="P005"/>
    <x v="1"/>
    <d v="2024-06-26T00:00:00"/>
    <x v="5"/>
    <x v="23"/>
    <n v="3557"/>
    <n v="687"/>
    <n v="424"/>
    <n v="71140"/>
    <n v="70701"/>
    <n v="224"/>
    <x v="0"/>
    <x v="0"/>
    <n v="16.423249929716054"/>
    <n v="4668"/>
  </r>
  <r>
    <s v="P170"/>
    <x v="0"/>
    <d v="2025-04-28T00:00:00"/>
    <x v="2"/>
    <x v="6"/>
    <n v="3577"/>
    <n v="596"/>
    <n v="493"/>
    <n v="67963"/>
    <n v="67839"/>
    <n v="53"/>
    <x v="0"/>
    <x v="2"/>
    <n v="17.190971558053647"/>
    <n v="4666"/>
  </r>
  <r>
    <s v="P015"/>
    <x v="3"/>
    <d v="2024-10-24T00:00:00"/>
    <x v="0"/>
    <x v="21"/>
    <n v="3888"/>
    <n v="604"/>
    <n v="128"/>
    <n v="77760"/>
    <n v="77167"/>
    <n v="20"/>
    <x v="3"/>
    <x v="0"/>
    <n v="15.025077160493828"/>
    <n v="4620"/>
  </r>
  <r>
    <s v="P253"/>
    <x v="0"/>
    <d v="2024-08-03T00:00:00"/>
    <x v="5"/>
    <x v="13"/>
    <n v="3791"/>
    <n v="593"/>
    <n v="228"/>
    <n v="53074"/>
    <n v="52613"/>
    <n v="205"/>
    <x v="1"/>
    <x v="4"/>
    <n v="22.013603647737121"/>
    <n v="4612"/>
  </r>
  <r>
    <s v="P126"/>
    <x v="2"/>
    <d v="2025-03-28T00:00:00"/>
    <x v="4"/>
    <x v="10"/>
    <n v="4158"/>
    <n v="167"/>
    <n v="241"/>
    <n v="45738"/>
    <n v="45183"/>
    <n v="142"/>
    <x v="3"/>
    <x v="4"/>
    <n v="25.544405089859634"/>
    <n v="4566"/>
  </r>
  <r>
    <s v="P127"/>
    <x v="3"/>
    <d v="2025-01-27T00:00:00"/>
    <x v="5"/>
    <x v="17"/>
    <n v="3452"/>
    <n v="652"/>
    <n v="442"/>
    <n v="65588"/>
    <n v="65049"/>
    <n v="158"/>
    <x v="3"/>
    <x v="2"/>
    <n v="17.813471976581081"/>
    <n v="4546"/>
  </r>
  <r>
    <s v="P255"/>
    <x v="3"/>
    <d v="2025-04-03T00:00:00"/>
    <x v="1"/>
    <x v="15"/>
    <n v="3767"/>
    <n v="514"/>
    <n v="238"/>
    <n v="37670"/>
    <n v="36807"/>
    <n v="226"/>
    <x v="3"/>
    <x v="1"/>
    <n v="31.015396867533848"/>
    <n v="4519"/>
  </r>
  <r>
    <s v="P235"/>
    <x v="3"/>
    <d v="2024-12-22T00:00:00"/>
    <x v="3"/>
    <x v="5"/>
    <n v="3196"/>
    <n v="941"/>
    <n v="376"/>
    <n v="35156"/>
    <n v="34444"/>
    <n v="241"/>
    <x v="0"/>
    <x v="2"/>
    <n v="33.233302992376835"/>
    <n v="4513"/>
  </r>
  <r>
    <s v="P104"/>
    <x v="1"/>
    <d v="2025-03-23T00:00:00"/>
    <x v="1"/>
    <x v="1"/>
    <n v="3655"/>
    <n v="568"/>
    <n v="286"/>
    <n v="32895"/>
    <n v="32015"/>
    <n v="199"/>
    <x v="0"/>
    <x v="2"/>
    <n v="35.517555859553127"/>
    <n v="4509"/>
  </r>
  <r>
    <s v="P008"/>
    <x v="1"/>
    <d v="2024-07-13T00:00:00"/>
    <x v="3"/>
    <x v="8"/>
    <n v="3929"/>
    <n v="262"/>
    <n v="278"/>
    <n v="43219"/>
    <n v="42841"/>
    <n v="39"/>
    <x v="1"/>
    <x v="1"/>
    <n v="27.033249265369399"/>
    <n v="4469"/>
  </r>
  <r>
    <s v="P136"/>
    <x v="2"/>
    <d v="2024-07-11T00:00:00"/>
    <x v="2"/>
    <x v="12"/>
    <n v="3134"/>
    <n v="888"/>
    <n v="444"/>
    <n v="21938"/>
    <n v="21337"/>
    <n v="130"/>
    <x v="1"/>
    <x v="1"/>
    <n v="53.256905825508248"/>
    <n v="4466"/>
  </r>
  <r>
    <s v="P271"/>
    <x v="2"/>
    <d v="2024-10-17T00:00:00"/>
    <x v="0"/>
    <x v="20"/>
    <n v="3575"/>
    <n v="749"/>
    <n v="111"/>
    <n v="21450"/>
    <n v="20785"/>
    <n v="195"/>
    <x v="1"/>
    <x v="3"/>
    <n v="54.468531468531467"/>
    <n v="4435"/>
  </r>
  <r>
    <s v="P122"/>
    <x v="2"/>
    <d v="2024-10-02T00:00:00"/>
    <x v="2"/>
    <x v="12"/>
    <n v="3432"/>
    <n v="869"/>
    <n v="123"/>
    <n v="54912"/>
    <n v="53916"/>
    <n v="264"/>
    <x v="1"/>
    <x v="3"/>
    <n v="21.276770104895103"/>
    <n v="4424"/>
  </r>
  <r>
    <s v="P200"/>
    <x v="3"/>
    <d v="2025-04-07T00:00:00"/>
    <x v="5"/>
    <x v="17"/>
    <n v="3718"/>
    <n v="385"/>
    <n v="310"/>
    <n v="70642"/>
    <n v="69749"/>
    <n v="233"/>
    <x v="0"/>
    <x v="3"/>
    <n v="16.539027773845589"/>
    <n v="4413"/>
  </r>
  <r>
    <s v="P141"/>
    <x v="0"/>
    <d v="2024-08-31T00:00:00"/>
    <x v="3"/>
    <x v="16"/>
    <n v="3170"/>
    <n v="857"/>
    <n v="379"/>
    <n v="19020"/>
    <n v="18559"/>
    <n v="240"/>
    <x v="3"/>
    <x v="4"/>
    <n v="61.427444794952685"/>
    <n v="4406"/>
  </r>
  <r>
    <s v="P189"/>
    <x v="3"/>
    <d v="2025-03-24T00:00:00"/>
    <x v="5"/>
    <x v="17"/>
    <n v="3360"/>
    <n v="525"/>
    <n v="500"/>
    <n v="60480"/>
    <n v="59610"/>
    <n v="192"/>
    <x v="0"/>
    <x v="0"/>
    <n v="19.317956349206348"/>
    <n v="4385"/>
  </r>
  <r>
    <s v="P184"/>
    <x v="0"/>
    <d v="2024-07-28T00:00:00"/>
    <x v="3"/>
    <x v="16"/>
    <n v="3215"/>
    <n v="960"/>
    <n v="202"/>
    <n v="32150"/>
    <n v="31404"/>
    <n v="251"/>
    <x v="1"/>
    <x v="0"/>
    <n v="36.34059097978227"/>
    <n v="4377"/>
  </r>
  <r>
    <s v="P258"/>
    <x v="2"/>
    <d v="2024-08-05T00:00:00"/>
    <x v="1"/>
    <x v="7"/>
    <n v="3601"/>
    <n v="695"/>
    <n v="75"/>
    <n v="21606"/>
    <n v="21454"/>
    <n v="172"/>
    <x v="1"/>
    <x v="3"/>
    <n v="54.075256873090808"/>
    <n v="4371"/>
  </r>
  <r>
    <s v="P039"/>
    <x v="3"/>
    <d v="2024-11-25T00:00:00"/>
    <x v="3"/>
    <x v="5"/>
    <n v="3564"/>
    <n v="629"/>
    <n v="177"/>
    <n v="60588"/>
    <n v="59627"/>
    <n v="92"/>
    <x v="0"/>
    <x v="4"/>
    <n v="19.283521489403842"/>
    <n v="4370"/>
  </r>
  <r>
    <s v="P180"/>
    <x v="1"/>
    <d v="2024-12-03T00:00:00"/>
    <x v="2"/>
    <x v="2"/>
    <n v="3711"/>
    <n v="352"/>
    <n v="290"/>
    <n v="48243"/>
    <n v="47579"/>
    <n v="11"/>
    <x v="0"/>
    <x v="0"/>
    <n v="24.21802126733412"/>
    <n v="4353"/>
  </r>
  <r>
    <s v="P116"/>
    <x v="1"/>
    <d v="2025-03-18T00:00:00"/>
    <x v="5"/>
    <x v="23"/>
    <n v="3704"/>
    <n v="186"/>
    <n v="458"/>
    <n v="25928"/>
    <n v="25081"/>
    <n v="131"/>
    <x v="0"/>
    <x v="4"/>
    <n v="45.061323665535326"/>
    <n v="4348"/>
  </r>
  <r>
    <s v="P007"/>
    <x v="0"/>
    <d v="2024-06-24T00:00:00"/>
    <x v="4"/>
    <x v="18"/>
    <n v="3860"/>
    <n v="201"/>
    <n v="279"/>
    <n v="61760"/>
    <n v="61660"/>
    <n v="235"/>
    <x v="0"/>
    <x v="3"/>
    <n v="18.917584196891191"/>
    <n v="4340"/>
  </r>
  <r>
    <s v="P037"/>
    <x v="3"/>
    <d v="2025-01-06T00:00:00"/>
    <x v="4"/>
    <x v="14"/>
    <n v="3024"/>
    <n v="925"/>
    <n v="350"/>
    <n v="24192"/>
    <n v="23518"/>
    <n v="36"/>
    <x v="1"/>
    <x v="3"/>
    <n v="48.294890873015873"/>
    <n v="4299"/>
  </r>
  <r>
    <s v="P267"/>
    <x v="0"/>
    <d v="2024-10-04T00:00:00"/>
    <x v="5"/>
    <x v="13"/>
    <n v="4187"/>
    <n v="66"/>
    <n v="31"/>
    <n v="66992"/>
    <n v="66614"/>
    <n v="62"/>
    <x v="3"/>
    <x v="4"/>
    <n v="17.440142106520181"/>
    <n v="4284"/>
  </r>
  <r>
    <s v="P169"/>
    <x v="1"/>
    <d v="2024-12-03T00:00:00"/>
    <x v="0"/>
    <x v="4"/>
    <n v="3809"/>
    <n v="273"/>
    <n v="200"/>
    <n v="34281"/>
    <n v="33534"/>
    <n v="83"/>
    <x v="1"/>
    <x v="0"/>
    <n v="34.081561214667019"/>
    <n v="4282"/>
  </r>
  <r>
    <s v="P109"/>
    <x v="0"/>
    <d v="2024-08-08T00:00:00"/>
    <x v="1"/>
    <x v="19"/>
    <n v="3649"/>
    <n v="215"/>
    <n v="413"/>
    <n v="25543"/>
    <n v="24963"/>
    <n v="167"/>
    <x v="3"/>
    <x v="2"/>
    <n v="45.740515992639864"/>
    <n v="4277"/>
  </r>
  <r>
    <s v="P247"/>
    <x v="3"/>
    <d v="2024-08-27T00:00:00"/>
    <x v="5"/>
    <x v="17"/>
    <n v="3960"/>
    <n v="266"/>
    <n v="8"/>
    <n v="35640"/>
    <n v="34850"/>
    <n v="208"/>
    <x v="3"/>
    <x v="4"/>
    <n v="32.781986531986533"/>
    <n v="4234"/>
  </r>
  <r>
    <s v="P247"/>
    <x v="3"/>
    <d v="2024-08-27T00:00:00"/>
    <x v="5"/>
    <x v="17"/>
    <n v="3960"/>
    <n v="266"/>
    <n v="8"/>
    <n v="35640"/>
    <n v="34850"/>
    <n v="208"/>
    <x v="1"/>
    <x v="4"/>
    <n v="32.781986531986533"/>
    <n v="4234"/>
  </r>
  <r>
    <s v="P247"/>
    <x v="3"/>
    <d v="2024-08-27T00:00:00"/>
    <x v="5"/>
    <x v="17"/>
    <n v="3960"/>
    <n v="266"/>
    <n v="8"/>
    <n v="35640"/>
    <n v="34850"/>
    <n v="208"/>
    <x v="4"/>
    <x v="4"/>
    <n v="32.781986531986533"/>
    <n v="4234"/>
  </r>
  <r>
    <s v="P006"/>
    <x v="3"/>
    <d v="2024-10-31T00:00:00"/>
    <x v="4"/>
    <x v="14"/>
    <n v="2945"/>
    <n v="930"/>
    <n v="355"/>
    <n v="23560"/>
    <n v="23275"/>
    <n v="256"/>
    <x v="0"/>
    <x v="3"/>
    <n v="49.590407470288625"/>
    <n v="4230"/>
  </r>
  <r>
    <s v="P174"/>
    <x v="3"/>
    <d v="2024-06-22T00:00:00"/>
    <x v="2"/>
    <x v="22"/>
    <n v="3828"/>
    <n v="148"/>
    <n v="253"/>
    <n v="30624"/>
    <n v="30229"/>
    <n v="235"/>
    <x v="1"/>
    <x v="4"/>
    <n v="38.151449843260188"/>
    <n v="4229"/>
  </r>
  <r>
    <s v="P016"/>
    <x v="3"/>
    <d v="2024-08-26T00:00:00"/>
    <x v="2"/>
    <x v="22"/>
    <n v="3452"/>
    <n v="377"/>
    <n v="360"/>
    <n v="55232"/>
    <n v="55075"/>
    <n v="87"/>
    <x v="3"/>
    <x v="2"/>
    <n v="21.153497972190035"/>
    <n v="4189"/>
  </r>
  <r>
    <s v="P274"/>
    <x v="0"/>
    <d v="2025-01-01T00:00:00"/>
    <x v="4"/>
    <x v="18"/>
    <n v="3535"/>
    <n v="494"/>
    <n v="152"/>
    <n v="53025"/>
    <n v="52791"/>
    <n v="44"/>
    <x v="0"/>
    <x v="1"/>
    <n v="22.033946251768032"/>
    <n v="4181"/>
  </r>
  <r>
    <s v="P162"/>
    <x v="3"/>
    <d v="2025-04-01T00:00:00"/>
    <x v="1"/>
    <x v="15"/>
    <n v="3430"/>
    <n v="566"/>
    <n v="164"/>
    <n v="48020"/>
    <n v="47305"/>
    <n v="120"/>
    <x v="3"/>
    <x v="4"/>
    <n v="24.3304872969596"/>
    <n v="4160"/>
  </r>
  <r>
    <s v="P203"/>
    <x v="2"/>
    <d v="2024-11-21T00:00:00"/>
    <x v="4"/>
    <x v="10"/>
    <n v="3773"/>
    <n v="299"/>
    <n v="38"/>
    <n v="71687"/>
    <n v="71447"/>
    <n v="286"/>
    <x v="3"/>
    <x v="0"/>
    <n v="16.297934074518391"/>
    <n v="4110"/>
  </r>
  <r>
    <s v="P176"/>
    <x v="3"/>
    <d v="2024-06-20T00:00:00"/>
    <x v="0"/>
    <x v="21"/>
    <n v="3798"/>
    <n v="31"/>
    <n v="279"/>
    <n v="75960"/>
    <n v="75813"/>
    <n v="266"/>
    <x v="0"/>
    <x v="0"/>
    <n v="15.381121642969985"/>
    <n v="4108"/>
  </r>
  <r>
    <s v="P270"/>
    <x v="1"/>
    <d v="2025-01-15T00:00:00"/>
    <x v="5"/>
    <x v="23"/>
    <n v="3774"/>
    <n v="239"/>
    <n v="39"/>
    <n v="60384"/>
    <n v="59490"/>
    <n v="241"/>
    <x v="0"/>
    <x v="2"/>
    <n v="19.348668521462638"/>
    <n v="4052"/>
  </r>
  <r>
    <s v="P103"/>
    <x v="3"/>
    <d v="2024-06-11T00:00:00"/>
    <x v="3"/>
    <x v="5"/>
    <n v="3689"/>
    <n v="48"/>
    <n v="306"/>
    <n v="40579"/>
    <n v="39588"/>
    <n v="212"/>
    <x v="1"/>
    <x v="3"/>
    <n v="28.791986002612187"/>
    <n v="4043"/>
  </r>
  <r>
    <s v="P035"/>
    <x v="2"/>
    <d v="2024-11-30T00:00:00"/>
    <x v="0"/>
    <x v="20"/>
    <n v="3775"/>
    <n v="16"/>
    <n v="239"/>
    <n v="33975"/>
    <n v="33310"/>
    <n v="271"/>
    <x v="3"/>
    <x v="3"/>
    <n v="34.388520971302427"/>
    <n v="4030"/>
  </r>
  <r>
    <s v="P134"/>
    <x v="0"/>
    <d v="2025-04-24T00:00:00"/>
    <x v="5"/>
    <x v="13"/>
    <n v="3731"/>
    <n v="115"/>
    <n v="135"/>
    <n v="55965"/>
    <n v="55436"/>
    <n v="103"/>
    <x v="0"/>
    <x v="0"/>
    <n v="20.876440632538195"/>
    <n v="3981"/>
  </r>
  <r>
    <s v="P147"/>
    <x v="2"/>
    <d v="2024-10-21T00:00:00"/>
    <x v="5"/>
    <x v="11"/>
    <n v="3256"/>
    <n v="459"/>
    <n v="266"/>
    <n v="26048"/>
    <n v="25529"/>
    <n v="143"/>
    <x v="0"/>
    <x v="3"/>
    <n v="44.853731572481571"/>
    <n v="3981"/>
  </r>
  <r>
    <s v="P146"/>
    <x v="1"/>
    <d v="2024-06-05T00:00:00"/>
    <x v="5"/>
    <x v="23"/>
    <n v="3065"/>
    <n v="772"/>
    <n v="142"/>
    <n v="18390"/>
    <n v="17875"/>
    <n v="200"/>
    <x v="1"/>
    <x v="4"/>
    <n v="63.531810766721044"/>
    <n v="3979"/>
  </r>
  <r>
    <s v="P146"/>
    <x v="1"/>
    <d v="2024-06-05T00:00:00"/>
    <x v="5"/>
    <x v="23"/>
    <n v="3065"/>
    <n v="772"/>
    <n v="142"/>
    <n v="18390"/>
    <n v="17875"/>
    <n v="200"/>
    <x v="2"/>
    <x v="4"/>
    <n v="63.531810766721044"/>
    <n v="3979"/>
  </r>
  <r>
    <s v="P230"/>
    <x v="3"/>
    <d v="2024-07-15T00:00:00"/>
    <x v="5"/>
    <x v="17"/>
    <n v="3663"/>
    <n v="17"/>
    <n v="295"/>
    <n v="51282"/>
    <n v="50567"/>
    <n v="84"/>
    <x v="1"/>
    <x v="2"/>
    <n v="22.782847782847782"/>
    <n v="3975"/>
  </r>
  <r>
    <s v="P177"/>
    <x v="2"/>
    <d v="2024-07-10T00:00:00"/>
    <x v="4"/>
    <x v="10"/>
    <n v="3099"/>
    <n v="694"/>
    <n v="171"/>
    <n v="43386"/>
    <n v="42921"/>
    <n v="52"/>
    <x v="0"/>
    <x v="2"/>
    <n v="26.929193749135667"/>
    <n v="3964"/>
  </r>
  <r>
    <s v="P286"/>
    <x v="1"/>
    <d v="2024-09-25T00:00:00"/>
    <x v="0"/>
    <x v="4"/>
    <n v="3389"/>
    <n v="344"/>
    <n v="229"/>
    <n v="20334"/>
    <n v="19443"/>
    <n v="228"/>
    <x v="3"/>
    <x v="2"/>
    <n v="57.457952198288581"/>
    <n v="3962"/>
  </r>
  <r>
    <s v="P257"/>
    <x v="3"/>
    <d v="2025-04-06T00:00:00"/>
    <x v="3"/>
    <x v="5"/>
    <n v="3090"/>
    <n v="697"/>
    <n v="164"/>
    <n v="49440"/>
    <n v="48524"/>
    <n v="25"/>
    <x v="1"/>
    <x v="3"/>
    <n v="23.631674757281555"/>
    <n v="3951"/>
  </r>
  <r>
    <s v="P257"/>
    <x v="3"/>
    <d v="2025-04-06T00:00:00"/>
    <x v="3"/>
    <x v="5"/>
    <n v="3090"/>
    <n v="697"/>
    <n v="164"/>
    <n v="49440"/>
    <n v="48524"/>
    <n v="25"/>
    <x v="1"/>
    <x v="3"/>
    <n v="23.631674757281555"/>
    <n v="3951"/>
  </r>
  <r>
    <s v="P257"/>
    <x v="3"/>
    <d v="2025-04-06T00:00:00"/>
    <x v="3"/>
    <x v="5"/>
    <n v="3090"/>
    <n v="697"/>
    <n v="164"/>
    <n v="49440"/>
    <n v="48524"/>
    <n v="25"/>
    <x v="4"/>
    <x v="3"/>
    <n v="23.631674757281555"/>
    <n v="3951"/>
  </r>
  <r>
    <s v="P273"/>
    <x v="1"/>
    <d v="2024-10-12T00:00:00"/>
    <x v="1"/>
    <x v="1"/>
    <n v="3641"/>
    <n v="226"/>
    <n v="46"/>
    <n v="40051"/>
    <n v="39319"/>
    <n v="296"/>
    <x v="1"/>
    <x v="1"/>
    <n v="29.171556265761154"/>
    <n v="3913"/>
  </r>
  <r>
    <s v="P151"/>
    <x v="2"/>
    <d v="2024-07-26T00:00:00"/>
    <x v="3"/>
    <x v="3"/>
    <n v="3559"/>
    <n v="59"/>
    <n v="289"/>
    <n v="35590"/>
    <n v="35105"/>
    <n v="122"/>
    <x v="1"/>
    <x v="0"/>
    <n v="32.828041584714811"/>
    <n v="3907"/>
  </r>
  <r>
    <s v="P095"/>
    <x v="2"/>
    <d v="2024-11-08T00:00:00"/>
    <x v="2"/>
    <x v="12"/>
    <n v="3182"/>
    <n v="559"/>
    <n v="160"/>
    <n v="57276"/>
    <n v="56890"/>
    <n v="163"/>
    <x v="3"/>
    <x v="1"/>
    <n v="20.398596270689293"/>
    <n v="3901"/>
  </r>
  <r>
    <s v="P208"/>
    <x v="1"/>
    <d v="2024-06-24T00:00:00"/>
    <x v="0"/>
    <x v="4"/>
    <n v="2949"/>
    <n v="476"/>
    <n v="403"/>
    <n v="44235"/>
    <n v="43705"/>
    <n v="135"/>
    <x v="0"/>
    <x v="3"/>
    <n v="26.412343167175315"/>
    <n v="3828"/>
  </r>
  <r>
    <s v="P086"/>
    <x v="1"/>
    <d v="2025-01-27T00:00:00"/>
    <x v="2"/>
    <x v="2"/>
    <n v="3428"/>
    <n v="305"/>
    <n v="85"/>
    <n v="58276"/>
    <n v="58052"/>
    <n v="242"/>
    <x v="1"/>
    <x v="1"/>
    <n v="20.048562015237835"/>
    <n v="3818"/>
  </r>
  <r>
    <s v="P086"/>
    <x v="1"/>
    <d v="2025-01-27T00:00:00"/>
    <x v="2"/>
    <x v="2"/>
    <n v="3428"/>
    <n v="305"/>
    <n v="85"/>
    <n v="58276"/>
    <n v="58052"/>
    <n v="242"/>
    <x v="4"/>
    <x v="1"/>
    <n v="20.048562015237835"/>
    <n v="3818"/>
  </r>
  <r>
    <s v="P056"/>
    <x v="3"/>
    <d v="2024-12-18T00:00:00"/>
    <x v="4"/>
    <x v="14"/>
    <n v="2946"/>
    <n v="498"/>
    <n v="367"/>
    <n v="29460"/>
    <n v="28527"/>
    <n v="60"/>
    <x v="3"/>
    <x v="2"/>
    <n v="39.658859470468428"/>
    <n v="3811"/>
  </r>
  <r>
    <s v="P045"/>
    <x v="3"/>
    <d v="2024-11-01T00:00:00"/>
    <x v="0"/>
    <x v="21"/>
    <n v="3371"/>
    <n v="106"/>
    <n v="327"/>
    <n v="50565"/>
    <n v="49816"/>
    <n v="176"/>
    <x v="3"/>
    <x v="0"/>
    <n v="23.105903292791456"/>
    <n v="3804"/>
  </r>
  <r>
    <s v="P172"/>
    <x v="3"/>
    <d v="2024-08-14T00:00:00"/>
    <x v="4"/>
    <x v="14"/>
    <n v="3073"/>
    <n v="553"/>
    <n v="174"/>
    <n v="52241"/>
    <n v="51605"/>
    <n v="246"/>
    <x v="1"/>
    <x v="2"/>
    <n v="22.364617828908329"/>
    <n v="3800"/>
  </r>
  <r>
    <s v="P026"/>
    <x v="1"/>
    <d v="2025-04-05T00:00:00"/>
    <x v="5"/>
    <x v="23"/>
    <n v="3009"/>
    <n v="413"/>
    <n v="358"/>
    <n v="42126"/>
    <n v="41309"/>
    <n v="211"/>
    <x v="3"/>
    <x v="3"/>
    <n v="27.73465318330722"/>
    <n v="3780"/>
  </r>
  <r>
    <s v="P213"/>
    <x v="3"/>
    <d v="2025-05-01T00:00:00"/>
    <x v="4"/>
    <x v="14"/>
    <n v="2696"/>
    <n v="628"/>
    <n v="443"/>
    <n v="45832"/>
    <n v="45632"/>
    <n v="248"/>
    <x v="1"/>
    <x v="1"/>
    <n v="25.492014313143656"/>
    <n v="3767"/>
  </r>
  <r>
    <s v="P223"/>
    <x v="0"/>
    <d v="2024-11-12T00:00:00"/>
    <x v="3"/>
    <x v="16"/>
    <n v="3338"/>
    <n v="277"/>
    <n v="118"/>
    <n v="60084"/>
    <n v="59842"/>
    <n v="252"/>
    <x v="0"/>
    <x v="4"/>
    <n v="19.445276612742163"/>
    <n v="3733"/>
  </r>
  <r>
    <s v="P283"/>
    <x v="0"/>
    <d v="2025-05-09T00:00:00"/>
    <x v="5"/>
    <x v="13"/>
    <n v="3367"/>
    <n v="302"/>
    <n v="57"/>
    <n v="63973"/>
    <n v="63789"/>
    <n v="157"/>
    <x v="3"/>
    <x v="3"/>
    <n v="18.263173526331421"/>
    <n v="3726"/>
  </r>
  <r>
    <s v="P018"/>
    <x v="2"/>
    <d v="2024-08-19T00:00:00"/>
    <x v="5"/>
    <x v="11"/>
    <n v="3000"/>
    <n v="382"/>
    <n v="325"/>
    <n v="36000"/>
    <n v="35819"/>
    <n v="19"/>
    <x v="3"/>
    <x v="0"/>
    <n v="32.454166666666666"/>
    <n v="3707"/>
  </r>
  <r>
    <s v="P071"/>
    <x v="1"/>
    <d v="2024-09-02T00:00:00"/>
    <x v="4"/>
    <x v="9"/>
    <n v="2551"/>
    <n v="915"/>
    <n v="205"/>
    <n v="30612"/>
    <n v="30360"/>
    <n v="227"/>
    <x v="0"/>
    <x v="3"/>
    <n v="38.16640533124265"/>
    <n v="3671"/>
  </r>
  <r>
    <s v="P209"/>
    <x v="0"/>
    <d v="2025-03-19T00:00:00"/>
    <x v="0"/>
    <x v="0"/>
    <n v="3160"/>
    <n v="204"/>
    <n v="297"/>
    <n v="44240"/>
    <n v="43666"/>
    <n v="49"/>
    <x v="3"/>
    <x v="1"/>
    <n v="26.409358047016276"/>
    <n v="3661"/>
  </r>
  <r>
    <s v="P209"/>
    <x v="0"/>
    <d v="2025-03-19T00:00:00"/>
    <x v="0"/>
    <x v="0"/>
    <n v="3160"/>
    <n v="204"/>
    <n v="297"/>
    <n v="44240"/>
    <n v="43666"/>
    <n v="49"/>
    <x v="2"/>
    <x v="1"/>
    <n v="26.409358047016276"/>
    <n v="3661"/>
  </r>
  <r>
    <s v="P057"/>
    <x v="0"/>
    <d v="2024-10-21T00:00:00"/>
    <x v="0"/>
    <x v="0"/>
    <n v="2825"/>
    <n v="535"/>
    <n v="295"/>
    <n v="45200"/>
    <n v="44739"/>
    <n v="169"/>
    <x v="0"/>
    <x v="0"/>
    <n v="25.848451327433629"/>
    <n v="3655"/>
  </r>
  <r>
    <s v="P047"/>
    <x v="0"/>
    <d v="2025-02-24T00:00:00"/>
    <x v="4"/>
    <x v="18"/>
    <n v="2704"/>
    <n v="752"/>
    <n v="153"/>
    <n v="21632"/>
    <n v="20792"/>
    <n v="127"/>
    <x v="3"/>
    <x v="4"/>
    <n v="54.010262573964496"/>
    <n v="3609"/>
  </r>
  <r>
    <s v="P293"/>
    <x v="3"/>
    <d v="2025-05-14T00:00:00"/>
    <x v="2"/>
    <x v="22"/>
    <n v="2634"/>
    <n v="726"/>
    <n v="241"/>
    <n v="28974"/>
    <n v="28102"/>
    <n v="277"/>
    <x v="1"/>
    <x v="0"/>
    <n v="40.3240836612135"/>
    <n v="3601"/>
  </r>
  <r>
    <s v="P281"/>
    <x v="1"/>
    <d v="2025-03-22T00:00:00"/>
    <x v="3"/>
    <x v="8"/>
    <n v="3166"/>
    <n v="90"/>
    <n v="341"/>
    <n v="56988"/>
    <n v="56125"/>
    <n v="135"/>
    <x v="1"/>
    <x v="3"/>
    <n v="20.501684565171615"/>
    <n v="3597"/>
  </r>
  <r>
    <s v="P038"/>
    <x v="1"/>
    <d v="2025-02-17T00:00:00"/>
    <x v="5"/>
    <x v="23"/>
    <n v="3138"/>
    <n v="123"/>
    <n v="291"/>
    <n v="28242"/>
    <n v="27550"/>
    <n v="87"/>
    <x v="0"/>
    <x v="1"/>
    <n v="41.369237306139794"/>
    <n v="3552"/>
  </r>
  <r>
    <s v="P064"/>
    <x v="3"/>
    <d v="2024-08-17T00:00:00"/>
    <x v="3"/>
    <x v="5"/>
    <n v="2878"/>
    <n v="248"/>
    <n v="416"/>
    <n v="43170"/>
    <n v="42667"/>
    <n v="75"/>
    <x v="3"/>
    <x v="2"/>
    <n v="27.063933287004865"/>
    <n v="3542"/>
  </r>
  <r>
    <s v="P025"/>
    <x v="0"/>
    <d v="2025-04-10T00:00:00"/>
    <x v="4"/>
    <x v="18"/>
    <n v="3128"/>
    <n v="211"/>
    <n v="197"/>
    <n v="59432"/>
    <n v="59182"/>
    <n v="238"/>
    <x v="1"/>
    <x v="4"/>
    <n v="19.658601426840761"/>
    <n v="3536"/>
  </r>
  <r>
    <s v="P079"/>
    <x v="2"/>
    <d v="2024-10-09T00:00:00"/>
    <x v="4"/>
    <x v="10"/>
    <n v="3068"/>
    <n v="137"/>
    <n v="329"/>
    <n v="39884"/>
    <n v="39404"/>
    <n v="266"/>
    <x v="1"/>
    <x v="3"/>
    <n v="29.293701735031593"/>
    <n v="3534"/>
  </r>
  <r>
    <s v="P263"/>
    <x v="2"/>
    <d v="2024-08-20T00:00:00"/>
    <x v="5"/>
    <x v="11"/>
    <n v="2603"/>
    <n v="690"/>
    <n v="205"/>
    <n v="13015"/>
    <n v="12130"/>
    <n v="20"/>
    <x v="3"/>
    <x v="3"/>
    <n v="89.769496734537071"/>
    <n v="3498"/>
  </r>
  <r>
    <s v="P165"/>
    <x v="0"/>
    <d v="2024-12-11T00:00:00"/>
    <x v="2"/>
    <x v="6"/>
    <n v="3239"/>
    <n v="43"/>
    <n v="211"/>
    <n v="22673"/>
    <n v="22171"/>
    <n v="230"/>
    <x v="0"/>
    <x v="3"/>
    <n v="51.530454725885413"/>
    <n v="3493"/>
  </r>
  <r>
    <s v="P128"/>
    <x v="0"/>
    <d v="2025-01-10T00:00:00"/>
    <x v="3"/>
    <x v="16"/>
    <n v="3092"/>
    <n v="106"/>
    <n v="291"/>
    <n v="27828"/>
    <n v="27217"/>
    <n v="102"/>
    <x v="3"/>
    <x v="4"/>
    <n v="41.984691677447174"/>
    <n v="3489"/>
  </r>
  <r>
    <s v="P044"/>
    <x v="0"/>
    <d v="2025-03-02T00:00:00"/>
    <x v="3"/>
    <x v="16"/>
    <n v="2358"/>
    <n v="784"/>
    <n v="344"/>
    <n v="35370"/>
    <n v="34475"/>
    <n v="216"/>
    <x v="0"/>
    <x v="4"/>
    <n v="33.032230703986428"/>
    <n v="3486"/>
  </r>
  <r>
    <s v="P188"/>
    <x v="1"/>
    <d v="2024-06-06T00:00:00"/>
    <x v="5"/>
    <x v="23"/>
    <n v="2728"/>
    <n v="533"/>
    <n v="215"/>
    <n v="40920"/>
    <n v="40816"/>
    <n v="137"/>
    <x v="3"/>
    <x v="3"/>
    <n v="28.552052785923753"/>
    <n v="3476"/>
  </r>
  <r>
    <s v="P296"/>
    <x v="0"/>
    <d v="2025-02-11T00:00:00"/>
    <x v="0"/>
    <x v="0"/>
    <n v="3440"/>
    <n v="13"/>
    <n v="20"/>
    <n v="58480"/>
    <n v="58146"/>
    <n v="210"/>
    <x v="0"/>
    <x v="1"/>
    <n v="19.978625170998633"/>
    <n v="3473"/>
  </r>
  <r>
    <s v="P296"/>
    <x v="0"/>
    <d v="2025-02-11T00:00:00"/>
    <x v="0"/>
    <x v="0"/>
    <n v="3440"/>
    <n v="13"/>
    <n v="20"/>
    <n v="58480"/>
    <n v="58146"/>
    <n v="210"/>
    <x v="5"/>
    <x v="1"/>
    <n v="19.978625170998633"/>
    <n v="3473"/>
  </r>
  <r>
    <s v="P130"/>
    <x v="1"/>
    <d v="2024-09-29T00:00:00"/>
    <x v="5"/>
    <x v="23"/>
    <n v="2936"/>
    <n v="439"/>
    <n v="44"/>
    <n v="38168"/>
    <n v="37571"/>
    <n v="22"/>
    <x v="1"/>
    <x v="1"/>
    <n v="30.610721022846363"/>
    <n v="3419"/>
  </r>
  <r>
    <s v="P204"/>
    <x v="2"/>
    <d v="2025-01-01T00:00:00"/>
    <x v="4"/>
    <x v="10"/>
    <n v="2234"/>
    <n v="653"/>
    <n v="432"/>
    <n v="11170"/>
    <n v="10569"/>
    <n v="198"/>
    <x v="3"/>
    <x v="2"/>
    <n v="104.5971351835273"/>
    <n v="3319"/>
  </r>
  <r>
    <s v="P168"/>
    <x v="3"/>
    <d v="2024-11-12T00:00:00"/>
    <x v="2"/>
    <x v="22"/>
    <n v="2418"/>
    <n v="754"/>
    <n v="54"/>
    <n v="43524"/>
    <n v="42743"/>
    <n v="182"/>
    <x v="1"/>
    <x v="0"/>
    <n v="26.843810311552247"/>
    <n v="3226"/>
  </r>
  <r>
    <s v="P299"/>
    <x v="3"/>
    <d v="2024-08-26T00:00:00"/>
    <x v="3"/>
    <x v="5"/>
    <n v="2581"/>
    <n v="517"/>
    <n v="117"/>
    <n v="23229"/>
    <n v="22331"/>
    <n v="70"/>
    <x v="3"/>
    <x v="2"/>
    <n v="50.297042489990957"/>
    <n v="3215"/>
  </r>
  <r>
    <s v="P289"/>
    <x v="3"/>
    <d v="2024-11-28T00:00:00"/>
    <x v="4"/>
    <x v="14"/>
    <n v="2751"/>
    <n v="33"/>
    <n v="430"/>
    <n v="44016"/>
    <n v="43415"/>
    <n v="129"/>
    <x v="3"/>
    <x v="4"/>
    <n v="26.543756815703382"/>
    <n v="3214"/>
  </r>
  <r>
    <s v="P030"/>
    <x v="2"/>
    <d v="2025-02-25T00:00:00"/>
    <x v="0"/>
    <x v="20"/>
    <n v="3095"/>
    <n v="39"/>
    <n v="78"/>
    <n v="55710"/>
    <n v="54808"/>
    <n v="93"/>
    <x v="1"/>
    <x v="4"/>
    <n v="20.971997845988152"/>
    <n v="3212"/>
  </r>
  <r>
    <s v="P137"/>
    <x v="3"/>
    <d v="2024-07-31T00:00:00"/>
    <x v="0"/>
    <x v="21"/>
    <n v="3008"/>
    <n v="94"/>
    <n v="37"/>
    <n v="15040"/>
    <n v="14639"/>
    <n v="277"/>
    <x v="3"/>
    <x v="4"/>
    <n v="77.682845744680847"/>
    <n v="3139"/>
  </r>
  <r>
    <s v="P119"/>
    <x v="2"/>
    <d v="2025-02-07T00:00:00"/>
    <x v="5"/>
    <x v="11"/>
    <n v="1970"/>
    <n v="675"/>
    <n v="478"/>
    <n v="9850"/>
    <n v="8924"/>
    <n v="117"/>
    <x v="3"/>
    <x v="4"/>
    <n v="118.61421319796955"/>
    <n v="3123"/>
  </r>
  <r>
    <s v="P094"/>
    <x v="2"/>
    <d v="2024-11-07T00:00:00"/>
    <x v="3"/>
    <x v="3"/>
    <n v="2647"/>
    <n v="304"/>
    <n v="170"/>
    <n v="18529"/>
    <n v="17841"/>
    <n v="46"/>
    <x v="3"/>
    <x v="2"/>
    <n v="63.055210750715098"/>
    <n v="3121"/>
  </r>
  <r>
    <s v="P139"/>
    <x v="1"/>
    <d v="2024-10-29T00:00:00"/>
    <x v="2"/>
    <x v="2"/>
    <n v="2746"/>
    <n v="156"/>
    <n v="203"/>
    <n v="32952"/>
    <n v="32147"/>
    <n v="147"/>
    <x v="1"/>
    <x v="0"/>
    <n v="35.456117989803353"/>
    <n v="3105"/>
  </r>
  <r>
    <s v="P080"/>
    <x v="2"/>
    <d v="2024-06-13T00:00:00"/>
    <x v="1"/>
    <x v="7"/>
    <n v="2103"/>
    <n v="892"/>
    <n v="103"/>
    <n v="39957"/>
    <n v="39466"/>
    <n v="28"/>
    <x v="3"/>
    <x v="4"/>
    <n v="29.240183196936705"/>
    <n v="3098"/>
  </r>
  <r>
    <s v="P112"/>
    <x v="0"/>
    <d v="2024-10-05T00:00:00"/>
    <x v="1"/>
    <x v="19"/>
    <n v="1957"/>
    <n v="877"/>
    <n v="238"/>
    <n v="17613"/>
    <n v="16865"/>
    <n v="297"/>
    <x v="3"/>
    <x v="2"/>
    <n v="66.334525634474531"/>
    <n v="3072"/>
  </r>
  <r>
    <s v="P054"/>
    <x v="1"/>
    <d v="2025-03-13T00:00:00"/>
    <x v="4"/>
    <x v="9"/>
    <n v="1686"/>
    <n v="904"/>
    <n v="472"/>
    <n v="18546"/>
    <n v="18171"/>
    <n v="52"/>
    <x v="3"/>
    <x v="3"/>
    <n v="62.997411840828214"/>
    <n v="3062"/>
  </r>
  <r>
    <s v="P084"/>
    <x v="3"/>
    <d v="2024-12-09T00:00:00"/>
    <x v="3"/>
    <x v="5"/>
    <n v="1841"/>
    <n v="851"/>
    <n v="342"/>
    <n v="34979"/>
    <n v="34154"/>
    <n v="255"/>
    <x v="3"/>
    <x v="1"/>
    <n v="33.401469453100432"/>
    <n v="3034"/>
  </r>
  <r>
    <s v="P068"/>
    <x v="2"/>
    <d v="2024-12-08T00:00:00"/>
    <x v="1"/>
    <x v="7"/>
    <n v="2610"/>
    <n v="126"/>
    <n v="288"/>
    <n v="15660"/>
    <n v="15145"/>
    <n v="73"/>
    <x v="1"/>
    <x v="4"/>
    <n v="74.607279693486589"/>
    <n v="3024"/>
  </r>
  <r>
    <s v="P111"/>
    <x v="1"/>
    <d v="2024-11-23T00:00:00"/>
    <x v="3"/>
    <x v="8"/>
    <n v="2719"/>
    <n v="17"/>
    <n v="285"/>
    <n v="40785"/>
    <n v="40281"/>
    <n v="40"/>
    <x v="0"/>
    <x v="3"/>
    <n v="28.646561235748436"/>
    <n v="3021"/>
  </r>
  <r>
    <s v="P012"/>
    <x v="3"/>
    <d v="2024-07-21T00:00:00"/>
    <x v="5"/>
    <x v="17"/>
    <n v="1946"/>
    <n v="686"/>
    <n v="377"/>
    <n v="23352"/>
    <n v="22982"/>
    <n v="213"/>
    <x v="3"/>
    <x v="2"/>
    <n v="50.032117163412124"/>
    <n v="3009"/>
  </r>
  <r>
    <s v="P290"/>
    <x v="2"/>
    <d v="2024-12-20T00:00:00"/>
    <x v="4"/>
    <x v="10"/>
    <n v="2107"/>
    <n v="550"/>
    <n v="349"/>
    <n v="35819"/>
    <n v="35340"/>
    <n v="191"/>
    <x v="1"/>
    <x v="1"/>
    <n v="32.618163544487565"/>
    <n v="3006"/>
  </r>
  <r>
    <s v="P199"/>
    <x v="1"/>
    <d v="2024-11-30T00:00:00"/>
    <x v="4"/>
    <x v="9"/>
    <n v="2509"/>
    <n v="324"/>
    <n v="171"/>
    <n v="35126"/>
    <n v="34685"/>
    <n v="277"/>
    <x v="0"/>
    <x v="3"/>
    <n v="33.261686500028468"/>
    <n v="3004"/>
  </r>
  <r>
    <s v="P049"/>
    <x v="0"/>
    <d v="2024-06-10T00:00:00"/>
    <x v="1"/>
    <x v="19"/>
    <n v="2164"/>
    <n v="549"/>
    <n v="274"/>
    <n v="28132"/>
    <n v="27361"/>
    <n v="177"/>
    <x v="0"/>
    <x v="1"/>
    <n v="41.530996729702828"/>
    <n v="2987"/>
  </r>
  <r>
    <s v="P050"/>
    <x v="1"/>
    <d v="2024-07-03T00:00:00"/>
    <x v="1"/>
    <x v="1"/>
    <n v="2754"/>
    <n v="130"/>
    <n v="90"/>
    <n v="22032"/>
    <n v="21288"/>
    <n v="112"/>
    <x v="0"/>
    <x v="2"/>
    <n v="53.029684095860567"/>
    <n v="2974"/>
  </r>
  <r>
    <s v="P129"/>
    <x v="0"/>
    <d v="2024-07-21T00:00:00"/>
    <x v="2"/>
    <x v="6"/>
    <n v="2147"/>
    <n v="430"/>
    <n v="393"/>
    <n v="17176"/>
    <n v="16483"/>
    <n v="170"/>
    <x v="0"/>
    <x v="4"/>
    <n v="68.022240335351654"/>
    <n v="2970"/>
  </r>
  <r>
    <s v="P003"/>
    <x v="1"/>
    <d v="2025-05-12T00:00:00"/>
    <x v="5"/>
    <x v="23"/>
    <n v="2795"/>
    <n v="105"/>
    <n v="49"/>
    <n v="53105"/>
    <n v="52307"/>
    <n v="204"/>
    <x v="0"/>
    <x v="2"/>
    <n v="22.000753224743434"/>
    <n v="2949"/>
  </r>
  <r>
    <s v="P051"/>
    <x v="3"/>
    <d v="2024-06-13T00:00:00"/>
    <x v="4"/>
    <x v="14"/>
    <n v="2200"/>
    <n v="504"/>
    <n v="239"/>
    <n v="37400"/>
    <n v="36938"/>
    <n v="225"/>
    <x v="3"/>
    <x v="3"/>
    <n v="31.239304812834224"/>
    <n v="2943"/>
  </r>
  <r>
    <s v="P275"/>
    <x v="3"/>
    <d v="2024-08-05T00:00:00"/>
    <x v="5"/>
    <x v="17"/>
    <n v="1741"/>
    <n v="831"/>
    <n v="345"/>
    <n v="17410"/>
    <n v="16844"/>
    <n v="58"/>
    <x v="1"/>
    <x v="2"/>
    <n v="67.107983917288919"/>
    <n v="2917"/>
  </r>
  <r>
    <s v="P004"/>
    <x v="2"/>
    <d v="2024-08-12T00:00:00"/>
    <x v="1"/>
    <x v="7"/>
    <n v="2404"/>
    <n v="363"/>
    <n v="138"/>
    <n v="19232"/>
    <n v="18636"/>
    <n v="128"/>
    <x v="1"/>
    <x v="1"/>
    <n v="60.750311980033281"/>
    <n v="2905"/>
  </r>
  <r>
    <s v="P011"/>
    <x v="2"/>
    <d v="2025-02-02T00:00:00"/>
    <x v="1"/>
    <x v="7"/>
    <n v="1792"/>
    <n v="614"/>
    <n v="497"/>
    <n v="25088"/>
    <n v="24675"/>
    <n v="65"/>
    <x v="3"/>
    <x v="1"/>
    <n v="46.570073341836732"/>
    <n v="2903"/>
  </r>
  <r>
    <s v="P132"/>
    <x v="2"/>
    <d v="2025-03-04T00:00:00"/>
    <x v="1"/>
    <x v="7"/>
    <n v="1947"/>
    <n v="842"/>
    <n v="101"/>
    <n v="21417"/>
    <n v="20967"/>
    <n v="186"/>
    <x v="3"/>
    <x v="3"/>
    <n v="54.552458327496851"/>
    <n v="2890"/>
  </r>
  <r>
    <s v="P254"/>
    <x v="0"/>
    <d v="2025-01-14T00:00:00"/>
    <x v="3"/>
    <x v="16"/>
    <n v="2692"/>
    <n v="115"/>
    <n v="64"/>
    <n v="21536"/>
    <n v="21120"/>
    <n v="224"/>
    <x v="3"/>
    <x v="3"/>
    <n v="54.251021545319468"/>
    <n v="2871"/>
  </r>
  <r>
    <s v="P140"/>
    <x v="3"/>
    <d v="2024-07-15T00:00:00"/>
    <x v="3"/>
    <x v="5"/>
    <n v="2291"/>
    <n v="78"/>
    <n v="485"/>
    <n v="18328"/>
    <n v="18101"/>
    <n v="10"/>
    <x v="1"/>
    <x v="3"/>
    <n v="63.746726320384113"/>
    <n v="2854"/>
  </r>
  <r>
    <s v="P140"/>
    <x v="3"/>
    <d v="2024-07-15T00:00:00"/>
    <x v="3"/>
    <x v="5"/>
    <n v="2291"/>
    <n v="78"/>
    <n v="485"/>
    <n v="18328"/>
    <n v="18101"/>
    <n v="10"/>
    <x v="5"/>
    <x v="3"/>
    <n v="63.746726320384113"/>
    <n v="2854"/>
  </r>
  <r>
    <s v="P043"/>
    <x v="2"/>
    <d v="2024-12-14T00:00:00"/>
    <x v="4"/>
    <x v="10"/>
    <n v="2174"/>
    <n v="658"/>
    <n v="15"/>
    <n v="13044"/>
    <n v="12206"/>
    <n v="137"/>
    <x v="0"/>
    <x v="2"/>
    <n v="89.569917203311874"/>
    <n v="2847"/>
  </r>
  <r>
    <s v="P265"/>
    <x v="0"/>
    <d v="2025-02-20T00:00:00"/>
    <x v="4"/>
    <x v="18"/>
    <n v="1877"/>
    <n v="745"/>
    <n v="225"/>
    <n v="11262"/>
    <n v="10967"/>
    <n v="41"/>
    <x v="1"/>
    <x v="1"/>
    <n v="103.74267448055407"/>
    <n v="2847"/>
  </r>
  <r>
    <s v="P098"/>
    <x v="0"/>
    <d v="2024-06-10T00:00:00"/>
    <x v="1"/>
    <x v="19"/>
    <n v="1575"/>
    <n v="771"/>
    <n v="486"/>
    <n v="25200"/>
    <n v="24826"/>
    <n v="17"/>
    <x v="3"/>
    <x v="1"/>
    <n v="46.363095238095241"/>
    <n v="2832"/>
  </r>
  <r>
    <s v="P059"/>
    <x v="2"/>
    <d v="2024-06-22T00:00:00"/>
    <x v="2"/>
    <x v="12"/>
    <n v="2180"/>
    <n v="263"/>
    <n v="387"/>
    <n v="30520"/>
    <n v="30059"/>
    <n v="174"/>
    <x v="1"/>
    <x v="4"/>
    <n v="38.281454783748359"/>
    <n v="2830"/>
  </r>
  <r>
    <s v="P222"/>
    <x v="3"/>
    <d v="2024-10-08T00:00:00"/>
    <x v="5"/>
    <x v="17"/>
    <n v="1814"/>
    <n v="653"/>
    <n v="363"/>
    <n v="25396"/>
    <n v="25286"/>
    <n v="39"/>
    <x v="3"/>
    <x v="0"/>
    <n v="46.0052764214837"/>
    <n v="2830"/>
  </r>
  <r>
    <s v="P222"/>
    <x v="3"/>
    <d v="2024-10-08T00:00:00"/>
    <x v="5"/>
    <x v="17"/>
    <n v="1814"/>
    <n v="653"/>
    <n v="363"/>
    <n v="25396"/>
    <n v="25286"/>
    <n v="39"/>
    <x v="5"/>
    <x v="0"/>
    <n v="46.0052764214837"/>
    <n v="2830"/>
  </r>
  <r>
    <s v="P218"/>
    <x v="3"/>
    <d v="2024-06-11T00:00:00"/>
    <x v="4"/>
    <x v="14"/>
    <n v="1869"/>
    <n v="453"/>
    <n v="490"/>
    <n v="14952"/>
    <n v="14309"/>
    <n v="275"/>
    <x v="0"/>
    <x v="1"/>
    <n v="78.140048154093094"/>
    <n v="2812"/>
  </r>
  <r>
    <s v="P233"/>
    <x v="3"/>
    <d v="2025-03-08T00:00:00"/>
    <x v="3"/>
    <x v="5"/>
    <n v="2382"/>
    <n v="265"/>
    <n v="134"/>
    <n v="38112"/>
    <n v="37437"/>
    <n v="249"/>
    <x v="3"/>
    <x v="1"/>
    <n v="30.655698992443323"/>
    <n v="2781"/>
  </r>
  <r>
    <s v="P159"/>
    <x v="3"/>
    <d v="2024-11-25T00:00:00"/>
    <x v="1"/>
    <x v="15"/>
    <n v="2120"/>
    <n v="158"/>
    <n v="488"/>
    <n v="12720"/>
    <n v="12085"/>
    <n v="17"/>
    <x v="3"/>
    <x v="3"/>
    <n v="91.851415094339629"/>
    <n v="2766"/>
  </r>
  <r>
    <s v="P142"/>
    <x v="1"/>
    <d v="2025-03-25T00:00:00"/>
    <x v="1"/>
    <x v="1"/>
    <n v="2070"/>
    <n v="275"/>
    <n v="386"/>
    <n v="39330"/>
    <n v="38627"/>
    <n v="114"/>
    <x v="3"/>
    <x v="1"/>
    <n v="29.706331045003814"/>
    <n v="2731"/>
  </r>
  <r>
    <s v="P048"/>
    <x v="0"/>
    <d v="2025-03-11T00:00:00"/>
    <x v="1"/>
    <x v="19"/>
    <n v="1950"/>
    <n v="295"/>
    <n v="478"/>
    <n v="37050"/>
    <n v="36272"/>
    <n v="119"/>
    <x v="0"/>
    <x v="4"/>
    <n v="31.534412955465587"/>
    <n v="2723"/>
  </r>
  <r>
    <s v="P029"/>
    <x v="2"/>
    <d v="2025-01-31T00:00:00"/>
    <x v="4"/>
    <x v="10"/>
    <n v="2566"/>
    <n v="118"/>
    <n v="37"/>
    <n v="12830"/>
    <n v="12264"/>
    <n v="221"/>
    <x v="3"/>
    <x v="2"/>
    <n v="91.063912704598593"/>
    <n v="2721"/>
  </r>
  <r>
    <s v="P087"/>
    <x v="0"/>
    <d v="2024-06-06T00:00:00"/>
    <x v="0"/>
    <x v="0"/>
    <n v="1436"/>
    <n v="765"/>
    <n v="496"/>
    <n v="12924"/>
    <n v="12701"/>
    <n v="197"/>
    <x v="3"/>
    <x v="2"/>
    <n v="90.401578458681527"/>
    <n v="2697"/>
  </r>
  <r>
    <s v="P042"/>
    <x v="1"/>
    <d v="2025-03-05T00:00:00"/>
    <x v="5"/>
    <x v="23"/>
    <n v="1543"/>
    <n v="820"/>
    <n v="333"/>
    <n v="12344"/>
    <n v="11496"/>
    <n v="241"/>
    <x v="1"/>
    <x v="4"/>
    <n v="94.649222294232018"/>
    <n v="2696"/>
  </r>
  <r>
    <s v="P133"/>
    <x v="3"/>
    <d v="2025-02-06T00:00:00"/>
    <x v="3"/>
    <x v="5"/>
    <n v="2072"/>
    <n v="532"/>
    <n v="71"/>
    <n v="37296"/>
    <n v="36467"/>
    <n v="25"/>
    <x v="0"/>
    <x v="1"/>
    <n v="31.326415701415701"/>
    <n v="2675"/>
  </r>
  <r>
    <s v="P075"/>
    <x v="2"/>
    <d v="2024-08-01T00:00:00"/>
    <x v="5"/>
    <x v="11"/>
    <n v="1674"/>
    <n v="929"/>
    <n v="37"/>
    <n v="21762"/>
    <n v="20998"/>
    <n v="255"/>
    <x v="0"/>
    <x v="1"/>
    <n v="53.687620623104493"/>
    <n v="2640"/>
  </r>
  <r>
    <s v="P297"/>
    <x v="0"/>
    <d v="2024-12-24T00:00:00"/>
    <x v="2"/>
    <x v="6"/>
    <n v="2166"/>
    <n v="354"/>
    <n v="117"/>
    <n v="10830"/>
    <n v="10245"/>
    <n v="24"/>
    <x v="1"/>
    <x v="1"/>
    <n v="107.8808864265928"/>
    <n v="2637"/>
  </r>
  <r>
    <s v="P115"/>
    <x v="0"/>
    <d v="2025-05-11T00:00:00"/>
    <x v="3"/>
    <x v="16"/>
    <n v="2493"/>
    <n v="97"/>
    <n v="44"/>
    <n v="42381"/>
    <n v="41991"/>
    <n v="242"/>
    <x v="0"/>
    <x v="1"/>
    <n v="27.567778013732568"/>
    <n v="2634"/>
  </r>
  <r>
    <s v="P115"/>
    <x v="0"/>
    <d v="2025-05-11T00:00:00"/>
    <x v="3"/>
    <x v="16"/>
    <n v="2493"/>
    <n v="97"/>
    <n v="44"/>
    <n v="42381"/>
    <n v="41991"/>
    <n v="242"/>
    <x v="2"/>
    <x v="1"/>
    <n v="27.567778013732568"/>
    <n v="2634"/>
  </r>
  <r>
    <s v="P252"/>
    <x v="3"/>
    <d v="2025-04-28T00:00:00"/>
    <x v="4"/>
    <x v="14"/>
    <n v="2089"/>
    <n v="476"/>
    <n v="69"/>
    <n v="16712"/>
    <n v="16309"/>
    <n v="64"/>
    <x v="3"/>
    <x v="2"/>
    <n v="69.910842508377215"/>
    <n v="2634"/>
  </r>
  <r>
    <s v="P149"/>
    <x v="0"/>
    <d v="2024-06-16T00:00:00"/>
    <x v="0"/>
    <x v="0"/>
    <n v="1702"/>
    <n v="750"/>
    <n v="179"/>
    <n v="34040"/>
    <n v="33174"/>
    <n v="76"/>
    <x v="1"/>
    <x v="0"/>
    <n v="34.322855464159815"/>
    <n v="2631"/>
  </r>
  <r>
    <s v="P155"/>
    <x v="1"/>
    <d v="2024-12-21T00:00:00"/>
    <x v="3"/>
    <x v="8"/>
    <n v="2283"/>
    <n v="210"/>
    <n v="130"/>
    <n v="22830"/>
    <n v="22617"/>
    <n v="143"/>
    <x v="3"/>
    <x v="3"/>
    <n v="51.176084099868596"/>
    <n v="2623"/>
  </r>
  <r>
    <s v="P089"/>
    <x v="0"/>
    <d v="2025-01-10T00:00:00"/>
    <x v="3"/>
    <x v="16"/>
    <n v="2214"/>
    <n v="249"/>
    <n v="152"/>
    <n v="15498"/>
    <n v="14800"/>
    <n v="180"/>
    <x v="1"/>
    <x v="4"/>
    <n v="75.387146728610148"/>
    <n v="2615"/>
  </r>
  <r>
    <s v="P032"/>
    <x v="0"/>
    <d v="2024-07-31T00:00:00"/>
    <x v="4"/>
    <x v="18"/>
    <n v="2278"/>
    <n v="10"/>
    <n v="321"/>
    <n v="13668"/>
    <n v="12676"/>
    <n v="275"/>
    <x v="1"/>
    <x v="0"/>
    <n v="85.480684811237921"/>
    <n v="2609"/>
  </r>
  <r>
    <s v="P158"/>
    <x v="2"/>
    <d v="2024-08-11T00:00:00"/>
    <x v="1"/>
    <x v="7"/>
    <n v="1762"/>
    <n v="405"/>
    <n v="423"/>
    <n v="22906"/>
    <n v="21925"/>
    <n v="25"/>
    <x v="0"/>
    <x v="0"/>
    <n v="51.006286562472717"/>
    <n v="2590"/>
  </r>
  <r>
    <s v="P295"/>
    <x v="0"/>
    <d v="2025-05-06T00:00:00"/>
    <x v="3"/>
    <x v="16"/>
    <n v="1952"/>
    <n v="344"/>
    <n v="287"/>
    <n v="15616"/>
    <n v="15403"/>
    <n v="235"/>
    <x v="3"/>
    <x v="3"/>
    <n v="74.817494877049185"/>
    <n v="2583"/>
  </r>
  <r>
    <s v="P295"/>
    <x v="0"/>
    <d v="2025-05-06T00:00:00"/>
    <x v="3"/>
    <x v="16"/>
    <n v="1952"/>
    <n v="344"/>
    <n v="287"/>
    <n v="15616"/>
    <n v="15403"/>
    <n v="235"/>
    <x v="0"/>
    <x v="3"/>
    <n v="74.817494877049185"/>
    <n v="2583"/>
  </r>
  <r>
    <s v="P295"/>
    <x v="0"/>
    <d v="2025-05-06T00:00:00"/>
    <x v="3"/>
    <x v="16"/>
    <n v="1952"/>
    <n v="344"/>
    <n v="287"/>
    <n v="15616"/>
    <n v="15403"/>
    <n v="235"/>
    <x v="2"/>
    <x v="3"/>
    <n v="74.817494877049185"/>
    <n v="2583"/>
  </r>
  <r>
    <s v="P251"/>
    <x v="2"/>
    <d v="2025-03-27T00:00:00"/>
    <x v="4"/>
    <x v="10"/>
    <n v="1377"/>
    <n v="796"/>
    <n v="387"/>
    <n v="22032"/>
    <n v="21869"/>
    <n v="189"/>
    <x v="3"/>
    <x v="4"/>
    <n v="53.029684095860567"/>
    <n v="2560"/>
  </r>
  <r>
    <s v="P196"/>
    <x v="2"/>
    <d v="2024-12-19T00:00:00"/>
    <x v="2"/>
    <x v="12"/>
    <n v="1813"/>
    <n v="623"/>
    <n v="72"/>
    <n v="19943"/>
    <n v="18959"/>
    <n v="85"/>
    <x v="1"/>
    <x v="2"/>
    <n v="58.584465727322872"/>
    <n v="2508"/>
  </r>
  <r>
    <s v="P065"/>
    <x v="2"/>
    <d v="2025-03-28T00:00:00"/>
    <x v="1"/>
    <x v="7"/>
    <n v="1881"/>
    <n v="501"/>
    <n v="99"/>
    <n v="20691"/>
    <n v="19987"/>
    <n v="289"/>
    <x v="1"/>
    <x v="4"/>
    <n v="56.466579672321302"/>
    <n v="2481"/>
  </r>
  <r>
    <s v="P023"/>
    <x v="3"/>
    <d v="2024-11-06T00:00:00"/>
    <x v="0"/>
    <x v="21"/>
    <n v="1606"/>
    <n v="547"/>
    <n v="316"/>
    <n v="32120"/>
    <n v="31736"/>
    <n v="225"/>
    <x v="0"/>
    <x v="3"/>
    <n v="36.374533001245332"/>
    <n v="2469"/>
  </r>
  <r>
    <s v="P023"/>
    <x v="3"/>
    <d v="2024-11-06T00:00:00"/>
    <x v="0"/>
    <x v="21"/>
    <n v="1606"/>
    <n v="547"/>
    <n v="316"/>
    <n v="32120"/>
    <n v="31736"/>
    <n v="225"/>
    <x v="2"/>
    <x v="3"/>
    <n v="36.374533001245332"/>
    <n v="2469"/>
  </r>
  <r>
    <s v="P117"/>
    <x v="0"/>
    <d v="2024-11-04T00:00:00"/>
    <x v="3"/>
    <x v="16"/>
    <n v="1606"/>
    <n v="451"/>
    <n v="405"/>
    <n v="20878"/>
    <n v="20190"/>
    <n v="219"/>
    <x v="1"/>
    <x v="1"/>
    <n v="55.960820001915891"/>
    <n v="2462"/>
  </r>
  <r>
    <s v="P202"/>
    <x v="3"/>
    <d v="2024-06-02T00:00:00"/>
    <x v="3"/>
    <x v="5"/>
    <n v="1871"/>
    <n v="252"/>
    <n v="335"/>
    <n v="29936"/>
    <n v="29576"/>
    <n v="288"/>
    <x v="1"/>
    <x v="2"/>
    <n v="39.028260288615712"/>
    <n v="2458"/>
  </r>
  <r>
    <s v="P069"/>
    <x v="0"/>
    <d v="2025-03-08T00:00:00"/>
    <x v="2"/>
    <x v="6"/>
    <n v="1292"/>
    <n v="626"/>
    <n v="496"/>
    <n v="25840"/>
    <n v="24916"/>
    <n v="149"/>
    <x v="3"/>
    <x v="2"/>
    <n v="45.214783281733745"/>
    <n v="2414"/>
  </r>
  <r>
    <s v="P093"/>
    <x v="2"/>
    <d v="2024-12-11T00:00:00"/>
    <x v="0"/>
    <x v="20"/>
    <n v="1431"/>
    <n v="951"/>
    <n v="26"/>
    <n v="8586"/>
    <n v="8396"/>
    <n v="150"/>
    <x v="1"/>
    <x v="2"/>
    <n v="136.07617051013278"/>
    <n v="2408"/>
  </r>
  <r>
    <s v="P027"/>
    <x v="1"/>
    <d v="2024-09-17T00:00:00"/>
    <x v="2"/>
    <x v="2"/>
    <n v="2076"/>
    <n v="195"/>
    <n v="104"/>
    <n v="33216"/>
    <n v="32244"/>
    <n v="51"/>
    <x v="3"/>
    <x v="1"/>
    <n v="35.174313583815028"/>
    <n v="2375"/>
  </r>
  <r>
    <s v="P211"/>
    <x v="0"/>
    <d v="2024-07-18T00:00:00"/>
    <x v="4"/>
    <x v="18"/>
    <n v="2120"/>
    <n v="38"/>
    <n v="212"/>
    <n v="12720"/>
    <n v="12564"/>
    <n v="21"/>
    <x v="3"/>
    <x v="1"/>
    <n v="91.851415094339629"/>
    <n v="2370"/>
  </r>
  <r>
    <s v="P256"/>
    <x v="1"/>
    <d v="2024-09-18T00:00:00"/>
    <x v="4"/>
    <x v="9"/>
    <n v="2143"/>
    <n v="12"/>
    <n v="204"/>
    <n v="40717"/>
    <n v="40125"/>
    <n v="248"/>
    <x v="1"/>
    <x v="3"/>
    <n v="28.694402829285064"/>
    <n v="2359"/>
  </r>
  <r>
    <s v="P187"/>
    <x v="0"/>
    <d v="2024-12-22T00:00:00"/>
    <x v="5"/>
    <x v="13"/>
    <n v="1644"/>
    <n v="546"/>
    <n v="150"/>
    <n v="27948"/>
    <n v="27184"/>
    <n v="300"/>
    <x v="1"/>
    <x v="2"/>
    <n v="41.804422498926577"/>
    <n v="2340"/>
  </r>
  <r>
    <s v="P173"/>
    <x v="0"/>
    <d v="2024-12-05T00:00:00"/>
    <x v="0"/>
    <x v="0"/>
    <n v="1330"/>
    <n v="925"/>
    <n v="35"/>
    <n v="15960"/>
    <n v="15379"/>
    <n v="229"/>
    <x v="3"/>
    <x v="2"/>
    <n v="73.204887218045116"/>
    <n v="2290"/>
  </r>
  <r>
    <s v="P100"/>
    <x v="1"/>
    <d v="2025-02-10T00:00:00"/>
    <x v="0"/>
    <x v="4"/>
    <n v="1766"/>
    <n v="92"/>
    <n v="424"/>
    <n v="24724"/>
    <n v="24333"/>
    <n v="52"/>
    <x v="1"/>
    <x v="4"/>
    <n v="47.255702960685973"/>
    <n v="2282"/>
  </r>
  <r>
    <s v="P074"/>
    <x v="1"/>
    <d v="2024-10-28T00:00:00"/>
    <x v="5"/>
    <x v="23"/>
    <n v="1855"/>
    <n v="200"/>
    <n v="174"/>
    <n v="16695"/>
    <n v="16330"/>
    <n v="123"/>
    <x v="0"/>
    <x v="2"/>
    <n v="69.98203054806828"/>
    <n v="2229"/>
  </r>
  <r>
    <s v="P226"/>
    <x v="2"/>
    <d v="2024-08-07T00:00:00"/>
    <x v="4"/>
    <x v="10"/>
    <n v="1741"/>
    <n v="164"/>
    <n v="318"/>
    <n v="8705"/>
    <n v="8272"/>
    <n v="121"/>
    <x v="0"/>
    <x v="4"/>
    <n v="134.21596783457784"/>
    <n v="2223"/>
  </r>
  <r>
    <s v="P154"/>
    <x v="2"/>
    <d v="2024-10-09T00:00:00"/>
    <x v="4"/>
    <x v="10"/>
    <n v="985"/>
    <n v="932"/>
    <n v="287"/>
    <n v="6895"/>
    <n v="6757"/>
    <n v="64"/>
    <x v="3"/>
    <x v="1"/>
    <n v="169.44887599709935"/>
    <n v="2204"/>
  </r>
  <r>
    <s v="P190"/>
    <x v="1"/>
    <d v="2024-10-04T00:00:00"/>
    <x v="2"/>
    <x v="2"/>
    <n v="1963"/>
    <n v="213"/>
    <n v="19"/>
    <n v="39260"/>
    <n v="38771"/>
    <n v="145"/>
    <x v="3"/>
    <x v="4"/>
    <n v="29.759296994396333"/>
    <n v="2195"/>
  </r>
  <r>
    <s v="P033"/>
    <x v="3"/>
    <d v="2024-08-21T00:00:00"/>
    <x v="3"/>
    <x v="5"/>
    <n v="1407"/>
    <n v="400"/>
    <n v="351"/>
    <n v="16884"/>
    <n v="15954"/>
    <n v="113"/>
    <x v="0"/>
    <x v="0"/>
    <n v="69.198649609097373"/>
    <n v="2158"/>
  </r>
  <r>
    <s v="P102"/>
    <x v="0"/>
    <d v="2024-09-18T00:00:00"/>
    <x v="5"/>
    <x v="13"/>
    <n v="1000"/>
    <n v="978"/>
    <n v="162"/>
    <n v="6000"/>
    <n v="5221"/>
    <n v="223"/>
    <x v="1"/>
    <x v="3"/>
    <n v="194.72499999999999"/>
    <n v="2140"/>
  </r>
  <r>
    <s v="P145"/>
    <x v="2"/>
    <d v="2024-08-12T00:00:00"/>
    <x v="4"/>
    <x v="10"/>
    <n v="1878"/>
    <n v="62"/>
    <n v="179"/>
    <n v="37560"/>
    <n v="36874"/>
    <n v="142"/>
    <x v="0"/>
    <x v="1"/>
    <n v="31.106230031948883"/>
    <n v="2119"/>
  </r>
  <r>
    <s v="P287"/>
    <x v="2"/>
    <d v="2024-08-15T00:00:00"/>
    <x v="5"/>
    <x v="11"/>
    <n v="1164"/>
    <n v="616"/>
    <n v="324"/>
    <n v="6984"/>
    <n v="6636"/>
    <n v="82"/>
    <x v="1"/>
    <x v="0"/>
    <n v="167.28951890034364"/>
    <n v="2104"/>
  </r>
  <r>
    <s v="P034"/>
    <x v="3"/>
    <d v="2025-03-26T00:00:00"/>
    <x v="2"/>
    <x v="22"/>
    <n v="1652"/>
    <n v="89"/>
    <n v="357"/>
    <n v="29736"/>
    <n v="28771"/>
    <n v="215"/>
    <x v="0"/>
    <x v="2"/>
    <n v="39.290758676351899"/>
    <n v="2098"/>
  </r>
  <r>
    <s v="P282"/>
    <x v="2"/>
    <d v="2024-10-03T00:00:00"/>
    <x v="0"/>
    <x v="20"/>
    <n v="1488"/>
    <n v="417"/>
    <n v="168"/>
    <n v="19344"/>
    <n v="18395"/>
    <n v="30"/>
    <x v="3"/>
    <x v="2"/>
    <n v="60.398573200992558"/>
    <n v="2073"/>
  </r>
  <r>
    <s v="P096"/>
    <x v="0"/>
    <d v="2024-09-10T00:00:00"/>
    <x v="3"/>
    <x v="16"/>
    <n v="1238"/>
    <n v="366"/>
    <n v="444"/>
    <n v="19808"/>
    <n v="19334"/>
    <n v="123"/>
    <x v="3"/>
    <x v="4"/>
    <n v="58.983743941841681"/>
    <n v="2048"/>
  </r>
  <r>
    <s v="P192"/>
    <x v="2"/>
    <d v="2024-11-29T00:00:00"/>
    <x v="0"/>
    <x v="20"/>
    <n v="1176"/>
    <n v="464"/>
    <n v="394"/>
    <n v="14112"/>
    <n v="13588"/>
    <n v="272"/>
    <x v="1"/>
    <x v="4"/>
    <n v="82.791241496598644"/>
    <n v="2034"/>
  </r>
  <r>
    <s v="P022"/>
    <x v="3"/>
    <d v="2025-02-27T00:00:00"/>
    <x v="2"/>
    <x v="22"/>
    <n v="1570"/>
    <n v="187"/>
    <n v="260"/>
    <n v="25120"/>
    <n v="24613"/>
    <n v="133"/>
    <x v="0"/>
    <x v="1"/>
    <n v="46.510748407643312"/>
    <n v="2017"/>
  </r>
  <r>
    <s v="P091"/>
    <x v="3"/>
    <d v="2025-03-24T00:00:00"/>
    <x v="3"/>
    <x v="5"/>
    <n v="1263"/>
    <n v="397"/>
    <n v="357"/>
    <n v="25260"/>
    <n v="24615"/>
    <n v="137"/>
    <x v="1"/>
    <x v="1"/>
    <n v="46.25296912114014"/>
    <n v="2017"/>
  </r>
  <r>
    <s v="P120"/>
    <x v="3"/>
    <d v="2024-10-21T00:00:00"/>
    <x v="1"/>
    <x v="15"/>
    <n v="780"/>
    <n v="928"/>
    <n v="301"/>
    <n v="8580"/>
    <n v="8081"/>
    <n v="91"/>
    <x v="1"/>
    <x v="2"/>
    <n v="136.17132867132867"/>
    <n v="2009"/>
  </r>
  <r>
    <s v="P001"/>
    <x v="0"/>
    <d v="2024-12-23T00:00:00"/>
    <x v="5"/>
    <x v="13"/>
    <n v="1461"/>
    <n v="184"/>
    <n v="344"/>
    <n v="21915"/>
    <n v="21675"/>
    <n v="15"/>
    <x v="3"/>
    <x v="0"/>
    <n v="53.312799452429843"/>
    <n v="1989"/>
  </r>
  <r>
    <s v="P001"/>
    <x v="0"/>
    <d v="2024-12-23T00:00:00"/>
    <x v="5"/>
    <x v="13"/>
    <n v="1461"/>
    <n v="184"/>
    <n v="344"/>
    <n v="21915"/>
    <n v="21675"/>
    <n v="15"/>
    <x v="2"/>
    <x v="0"/>
    <n v="53.312799452429843"/>
    <n v="1989"/>
  </r>
  <r>
    <s v="P060"/>
    <x v="2"/>
    <d v="2025-01-28T00:00:00"/>
    <x v="0"/>
    <x v="20"/>
    <n v="904"/>
    <n v="973"/>
    <n v="63"/>
    <n v="11752"/>
    <n v="11580"/>
    <n v="84"/>
    <x v="1"/>
    <x v="2"/>
    <n v="99.417120490129335"/>
    <n v="1940"/>
  </r>
  <r>
    <s v="P060"/>
    <x v="2"/>
    <d v="2025-01-28T00:00:00"/>
    <x v="0"/>
    <x v="20"/>
    <n v="904"/>
    <n v="973"/>
    <n v="63"/>
    <n v="11752"/>
    <n v="11580"/>
    <n v="84"/>
    <x v="0"/>
    <x v="2"/>
    <n v="99.417120490129335"/>
    <n v="1940"/>
  </r>
  <r>
    <s v="P060"/>
    <x v="2"/>
    <d v="2025-01-28T00:00:00"/>
    <x v="0"/>
    <x v="20"/>
    <n v="904"/>
    <n v="973"/>
    <n v="63"/>
    <n v="11752"/>
    <n v="11580"/>
    <n v="84"/>
    <x v="2"/>
    <x v="2"/>
    <n v="99.417120490129335"/>
    <n v="1940"/>
  </r>
  <r>
    <s v="P081"/>
    <x v="2"/>
    <d v="2024-10-19T00:00:00"/>
    <x v="1"/>
    <x v="7"/>
    <n v="1816"/>
    <n v="29"/>
    <n v="41"/>
    <n v="19976"/>
    <n v="19262"/>
    <n v="283"/>
    <x v="0"/>
    <x v="2"/>
    <n v="58.48768522226672"/>
    <n v="1886"/>
  </r>
  <r>
    <s v="P276"/>
    <x v="0"/>
    <d v="2024-06-07T00:00:00"/>
    <x v="4"/>
    <x v="18"/>
    <n v="1556"/>
    <n v="195"/>
    <n v="131"/>
    <n v="9336"/>
    <n v="8875"/>
    <n v="137"/>
    <x v="0"/>
    <x v="3"/>
    <n v="125.14460154241645"/>
    <n v="1882"/>
  </r>
  <r>
    <s v="P198"/>
    <x v="0"/>
    <d v="2024-09-14T00:00:00"/>
    <x v="3"/>
    <x v="16"/>
    <n v="1048"/>
    <n v="374"/>
    <n v="450"/>
    <n v="9432"/>
    <n v="8882"/>
    <n v="158"/>
    <x v="0"/>
    <x v="2"/>
    <n v="123.8708651399491"/>
    <n v="1872"/>
  </r>
  <r>
    <s v="P181"/>
    <x v="1"/>
    <d v="2025-03-21T00:00:00"/>
    <x v="3"/>
    <x v="8"/>
    <n v="606"/>
    <n v="789"/>
    <n v="470"/>
    <n v="7878"/>
    <n v="7389"/>
    <n v="239"/>
    <x v="1"/>
    <x v="2"/>
    <n v="148.30540746382331"/>
    <n v="1865"/>
  </r>
  <r>
    <s v="P231"/>
    <x v="2"/>
    <d v="2025-05-01T00:00:00"/>
    <x v="2"/>
    <x v="12"/>
    <n v="1430"/>
    <n v="376"/>
    <n v="33"/>
    <n v="21450"/>
    <n v="20509"/>
    <n v="251"/>
    <x v="3"/>
    <x v="0"/>
    <n v="54.468531468531467"/>
    <n v="1839"/>
  </r>
  <r>
    <s v="P234"/>
    <x v="3"/>
    <d v="2024-06-01T00:00:00"/>
    <x v="2"/>
    <x v="22"/>
    <n v="1272"/>
    <n v="465"/>
    <n v="99"/>
    <n v="24168"/>
    <n v="23719"/>
    <n v="42"/>
    <x v="0"/>
    <x v="4"/>
    <n v="48.342850049652434"/>
    <n v="1836"/>
  </r>
  <r>
    <s v="P219"/>
    <x v="0"/>
    <d v="2025-01-28T00:00:00"/>
    <x v="5"/>
    <x v="13"/>
    <n v="1188"/>
    <n v="470"/>
    <n v="174"/>
    <n v="7128"/>
    <n v="6145"/>
    <n v="270"/>
    <x v="0"/>
    <x v="1"/>
    <n v="163.90993265993265"/>
    <n v="1832"/>
  </r>
  <r>
    <s v="P171"/>
    <x v="1"/>
    <d v="2024-12-31T00:00:00"/>
    <x v="0"/>
    <x v="4"/>
    <n v="1018"/>
    <n v="447"/>
    <n v="332"/>
    <n v="18324"/>
    <n v="18164"/>
    <n v="38"/>
    <x v="3"/>
    <x v="3"/>
    <n v="63.760641781270465"/>
    <n v="1797"/>
  </r>
  <r>
    <s v="P077"/>
    <x v="3"/>
    <d v="2025-03-04T00:00:00"/>
    <x v="1"/>
    <x v="15"/>
    <n v="1249"/>
    <n v="116"/>
    <n v="420"/>
    <n v="8743"/>
    <n v="8538"/>
    <n v="63"/>
    <x v="0"/>
    <x v="4"/>
    <n v="133.63262038201989"/>
    <n v="1785"/>
  </r>
  <r>
    <s v="P160"/>
    <x v="0"/>
    <d v="2024-08-24T00:00:00"/>
    <x v="0"/>
    <x v="0"/>
    <n v="1082"/>
    <n v="209"/>
    <n v="484"/>
    <n v="19476"/>
    <n v="18654"/>
    <n v="20"/>
    <x v="0"/>
    <x v="4"/>
    <n v="59.989217498459645"/>
    <n v="1775"/>
  </r>
  <r>
    <s v="P216"/>
    <x v="1"/>
    <d v="2024-07-29T00:00:00"/>
    <x v="1"/>
    <x v="1"/>
    <n v="1509"/>
    <n v="88"/>
    <n v="163"/>
    <n v="30180"/>
    <n v="29689"/>
    <n v="119"/>
    <x v="1"/>
    <x v="3"/>
    <n v="38.712723658051686"/>
    <n v="1760"/>
  </r>
  <r>
    <s v="P124"/>
    <x v="1"/>
    <d v="2025-04-06T00:00:00"/>
    <x v="4"/>
    <x v="9"/>
    <n v="736"/>
    <n v="771"/>
    <n v="225"/>
    <n v="5152"/>
    <n v="4706"/>
    <n v="19"/>
    <x v="1"/>
    <x v="0"/>
    <n v="226.7760093167702"/>
    <n v="1732"/>
  </r>
  <r>
    <s v="P166"/>
    <x v="0"/>
    <d v="2025-02-16T00:00:00"/>
    <x v="5"/>
    <x v="13"/>
    <n v="1076"/>
    <n v="313"/>
    <n v="306"/>
    <n v="11836"/>
    <n v="11596"/>
    <n v="104"/>
    <x v="3"/>
    <x v="0"/>
    <n v="98.711557958769859"/>
    <n v="1695"/>
  </r>
  <r>
    <s v="P013"/>
    <x v="1"/>
    <d v="2024-11-18T00:00:00"/>
    <x v="4"/>
    <x v="9"/>
    <n v="1171"/>
    <n v="286"/>
    <n v="231"/>
    <n v="22249"/>
    <n v="21282"/>
    <n v="114"/>
    <x v="1"/>
    <x v="0"/>
    <n v="52.51247247067284"/>
    <n v="1688"/>
  </r>
  <r>
    <s v="P052"/>
    <x v="3"/>
    <d v="2025-01-03T00:00:00"/>
    <x v="3"/>
    <x v="5"/>
    <n v="947"/>
    <n v="338"/>
    <n v="350"/>
    <n v="10417"/>
    <n v="9730"/>
    <n v="34"/>
    <x v="0"/>
    <x v="1"/>
    <n v="112.1580109436498"/>
    <n v="1635"/>
  </r>
  <r>
    <s v="P236"/>
    <x v="3"/>
    <d v="2024-08-19T00:00:00"/>
    <x v="2"/>
    <x v="22"/>
    <n v="1257"/>
    <n v="19"/>
    <n v="351"/>
    <n v="12570"/>
    <n v="11660"/>
    <n v="194"/>
    <x v="3"/>
    <x v="3"/>
    <n v="92.947494033412895"/>
    <n v="1627"/>
  </r>
  <r>
    <s v="P236"/>
    <x v="3"/>
    <d v="2024-08-19T00:00:00"/>
    <x v="2"/>
    <x v="22"/>
    <n v="1257"/>
    <n v="19"/>
    <n v="351"/>
    <n v="12570"/>
    <n v="11660"/>
    <n v="194"/>
    <x v="2"/>
    <x v="3"/>
    <n v="92.947494033412895"/>
    <n v="1627"/>
  </r>
  <r>
    <s v="P236"/>
    <x v="3"/>
    <d v="2024-08-19T00:00:00"/>
    <x v="2"/>
    <x v="22"/>
    <n v="1257"/>
    <n v="19"/>
    <n v="351"/>
    <n v="12570"/>
    <n v="11660"/>
    <n v="194"/>
    <x v="1"/>
    <x v="3"/>
    <n v="92.947494033412895"/>
    <n v="1627"/>
  </r>
  <r>
    <s v="P195"/>
    <x v="2"/>
    <d v="2024-08-15T00:00:00"/>
    <x v="4"/>
    <x v="10"/>
    <n v="914"/>
    <n v="464"/>
    <n v="246"/>
    <n v="11882"/>
    <n v="11500"/>
    <n v="282"/>
    <x v="3"/>
    <x v="1"/>
    <n v="98.32940582393536"/>
    <n v="1624"/>
  </r>
  <r>
    <s v="P195"/>
    <x v="2"/>
    <d v="2024-08-15T00:00:00"/>
    <x v="4"/>
    <x v="10"/>
    <n v="914"/>
    <n v="464"/>
    <n v="246"/>
    <n v="11882"/>
    <n v="11500"/>
    <n v="282"/>
    <x v="0"/>
    <x v="1"/>
    <n v="98.32940582393536"/>
    <n v="1624"/>
  </r>
  <r>
    <s v="P195"/>
    <x v="2"/>
    <d v="2024-08-15T00:00:00"/>
    <x v="4"/>
    <x v="10"/>
    <n v="914"/>
    <n v="464"/>
    <n v="246"/>
    <n v="11882"/>
    <n v="11500"/>
    <n v="282"/>
    <x v="2"/>
    <x v="1"/>
    <n v="98.32940582393536"/>
    <n v="1624"/>
  </r>
  <r>
    <s v="P210"/>
    <x v="1"/>
    <d v="2025-02-19T00:00:00"/>
    <x v="3"/>
    <x v="8"/>
    <n v="257"/>
    <n v="966"/>
    <n v="398"/>
    <n v="3341"/>
    <n v="2753"/>
    <n v="287"/>
    <x v="3"/>
    <x v="0"/>
    <n v="349.7006884166417"/>
    <n v="1621"/>
  </r>
  <r>
    <s v="P019"/>
    <x v="2"/>
    <d v="2024-06-23T00:00:00"/>
    <x v="0"/>
    <x v="20"/>
    <n v="1071"/>
    <n v="519"/>
    <n v="22"/>
    <n v="16065"/>
    <n v="15865"/>
    <n v="103"/>
    <x v="0"/>
    <x v="1"/>
    <n v="72.726423902894496"/>
    <n v="1612"/>
  </r>
  <r>
    <s v="P121"/>
    <x v="2"/>
    <d v="2024-07-29T00:00:00"/>
    <x v="1"/>
    <x v="7"/>
    <n v="498"/>
    <n v="701"/>
    <n v="412"/>
    <n v="4980"/>
    <n v="4185"/>
    <n v="185"/>
    <x v="3"/>
    <x v="4"/>
    <n v="234.60843373493975"/>
    <n v="1611"/>
  </r>
  <r>
    <s v="P083"/>
    <x v="1"/>
    <d v="2024-10-15T00:00:00"/>
    <x v="0"/>
    <x v="4"/>
    <n v="1094"/>
    <n v="472"/>
    <n v="21"/>
    <n v="9846"/>
    <n v="9609"/>
    <n v="112"/>
    <x v="1"/>
    <x v="4"/>
    <n v="118.66240097501523"/>
    <n v="1587"/>
  </r>
  <r>
    <s v="P214"/>
    <x v="2"/>
    <d v="2024-12-23T00:00:00"/>
    <x v="3"/>
    <x v="3"/>
    <n v="521"/>
    <n v="746"/>
    <n v="315"/>
    <n v="4168"/>
    <n v="3399"/>
    <n v="282"/>
    <x v="3"/>
    <x v="3"/>
    <n v="280.31429942418424"/>
    <n v="1582"/>
  </r>
  <r>
    <s v="P078"/>
    <x v="0"/>
    <d v="2024-06-17T00:00:00"/>
    <x v="3"/>
    <x v="16"/>
    <n v="954"/>
    <n v="324"/>
    <n v="288"/>
    <n v="19080"/>
    <n v="18859"/>
    <n v="21"/>
    <x v="3"/>
    <x v="1"/>
    <n v="61.234276729559745"/>
    <n v="1566"/>
  </r>
  <r>
    <s v="P292"/>
    <x v="3"/>
    <d v="2024-11-17T00:00:00"/>
    <x v="2"/>
    <x v="22"/>
    <n v="880"/>
    <n v="297"/>
    <n v="345"/>
    <n v="12320"/>
    <n v="11978"/>
    <n v="238"/>
    <x v="0"/>
    <x v="4"/>
    <n v="94.833603896103895"/>
    <n v="1522"/>
  </r>
  <r>
    <s v="P292"/>
    <x v="3"/>
    <d v="2024-11-17T00:00:00"/>
    <x v="2"/>
    <x v="22"/>
    <n v="880"/>
    <n v="297"/>
    <n v="345"/>
    <n v="12320"/>
    <n v="11978"/>
    <n v="238"/>
    <x v="2"/>
    <x v="4"/>
    <n v="94.833603896103895"/>
    <n v="1522"/>
  </r>
  <r>
    <s v="P206"/>
    <x v="0"/>
    <d v="2024-06-24T00:00:00"/>
    <x v="2"/>
    <x v="6"/>
    <n v="941"/>
    <n v="121"/>
    <n v="458"/>
    <n v="14115"/>
    <n v="13838"/>
    <n v="87"/>
    <x v="1"/>
    <x v="0"/>
    <n v="82.773645058448466"/>
    <n v="1520"/>
  </r>
  <r>
    <s v="P246"/>
    <x v="3"/>
    <d v="2024-10-11T00:00:00"/>
    <x v="3"/>
    <x v="5"/>
    <n v="400"/>
    <n v="680"/>
    <n v="434"/>
    <n v="6400"/>
    <n v="5472"/>
    <n v="160"/>
    <x v="3"/>
    <x v="3"/>
    <n v="182.5546875"/>
    <n v="1514"/>
  </r>
  <r>
    <s v="P041"/>
    <x v="2"/>
    <d v="2025-03-08T00:00:00"/>
    <x v="5"/>
    <x v="11"/>
    <n v="456"/>
    <n v="629"/>
    <n v="428"/>
    <n v="8208"/>
    <n v="7377"/>
    <n v="205"/>
    <x v="3"/>
    <x v="1"/>
    <n v="142.34283625730995"/>
    <n v="1513"/>
  </r>
  <r>
    <s v="P046"/>
    <x v="0"/>
    <d v="2025-05-02T00:00:00"/>
    <x v="0"/>
    <x v="0"/>
    <n v="1108"/>
    <n v="177"/>
    <n v="212"/>
    <n v="8864"/>
    <n v="8710"/>
    <n v="97"/>
    <x v="0"/>
    <x v="1"/>
    <n v="131.80843862815885"/>
    <n v="1497"/>
  </r>
  <r>
    <s v="P053"/>
    <x v="1"/>
    <d v="2025-02-24T00:00:00"/>
    <x v="4"/>
    <x v="9"/>
    <n v="804"/>
    <n v="639"/>
    <n v="43"/>
    <n v="4020"/>
    <n v="3144"/>
    <n v="11"/>
    <x v="1"/>
    <x v="4"/>
    <n v="290.63432835820896"/>
    <n v="1486"/>
  </r>
  <r>
    <s v="P053"/>
    <x v="1"/>
    <d v="2025-02-24T00:00:00"/>
    <x v="4"/>
    <x v="9"/>
    <n v="804"/>
    <n v="639"/>
    <n v="43"/>
    <n v="4020"/>
    <n v="3144"/>
    <n v="11"/>
    <x v="4"/>
    <x v="4"/>
    <n v="290.63432835820896"/>
    <n v="1486"/>
  </r>
  <r>
    <s v="P262"/>
    <x v="1"/>
    <d v="2025-01-18T00:00:00"/>
    <x v="3"/>
    <x v="8"/>
    <n v="1206"/>
    <n v="238"/>
    <n v="36"/>
    <n v="9648"/>
    <n v="9417"/>
    <n v="237"/>
    <x v="0"/>
    <x v="4"/>
    <n v="121.0976368159204"/>
    <n v="1480"/>
  </r>
  <r>
    <s v="P240"/>
    <x v="0"/>
    <d v="2024-08-26T00:00:00"/>
    <x v="4"/>
    <x v="18"/>
    <n v="929"/>
    <n v="192"/>
    <n v="322"/>
    <n v="16722"/>
    <n v="15996"/>
    <n v="145"/>
    <x v="1"/>
    <x v="2"/>
    <n v="69.869034804449228"/>
    <n v="1443"/>
  </r>
  <r>
    <s v="P240"/>
    <x v="0"/>
    <d v="2024-08-26T00:00:00"/>
    <x v="4"/>
    <x v="18"/>
    <n v="929"/>
    <n v="192"/>
    <n v="322"/>
    <n v="16722"/>
    <n v="15996"/>
    <n v="145"/>
    <x v="0"/>
    <x v="2"/>
    <n v="69.869034804449228"/>
    <n v="1443"/>
  </r>
  <r>
    <s v="P240"/>
    <x v="0"/>
    <d v="2024-08-26T00:00:00"/>
    <x v="4"/>
    <x v="18"/>
    <n v="929"/>
    <n v="192"/>
    <n v="322"/>
    <n v="16722"/>
    <n v="15996"/>
    <n v="145"/>
    <x v="2"/>
    <x v="2"/>
    <n v="69.869034804449228"/>
    <n v="1443"/>
  </r>
  <r>
    <s v="P070"/>
    <x v="3"/>
    <d v="2025-04-02T00:00:00"/>
    <x v="0"/>
    <x v="21"/>
    <n v="199"/>
    <n v="772"/>
    <n v="400"/>
    <n v="3582"/>
    <n v="2988"/>
    <n v="43"/>
    <x v="0"/>
    <x v="4"/>
    <n v="326.17252931323281"/>
    <n v="1371"/>
  </r>
  <r>
    <s v="P055"/>
    <x v="3"/>
    <d v="2024-06-17T00:00:00"/>
    <x v="3"/>
    <x v="5"/>
    <n v="1226"/>
    <n v="119"/>
    <n v="7"/>
    <n v="14712"/>
    <n v="14049"/>
    <n v="123"/>
    <x v="1"/>
    <x v="1"/>
    <n v="79.41476345840131"/>
    <n v="1352"/>
  </r>
  <r>
    <s v="P224"/>
    <x v="3"/>
    <d v="2025-05-13T00:00:00"/>
    <x v="3"/>
    <x v="5"/>
    <n v="602"/>
    <n v="594"/>
    <n v="156"/>
    <n v="4214"/>
    <n v="3363"/>
    <n v="164"/>
    <x v="0"/>
    <x v="2"/>
    <n v="277.25439012814428"/>
    <n v="1352"/>
  </r>
  <r>
    <s v="P183"/>
    <x v="2"/>
    <d v="2024-12-17T00:00:00"/>
    <x v="1"/>
    <x v="7"/>
    <n v="360"/>
    <n v="590"/>
    <n v="393"/>
    <n v="4680"/>
    <n v="4322"/>
    <n v="208"/>
    <x v="3"/>
    <x v="3"/>
    <n v="249.64743589743588"/>
    <n v="1343"/>
  </r>
  <r>
    <s v="P201"/>
    <x v="0"/>
    <d v="2025-01-15T00:00:00"/>
    <x v="5"/>
    <x v="13"/>
    <n v="802"/>
    <n v="262"/>
    <n v="244"/>
    <n v="14436"/>
    <n v="14280"/>
    <n v="49"/>
    <x v="1"/>
    <x v="0"/>
    <n v="80.933083956774723"/>
    <n v="1308"/>
  </r>
  <r>
    <s v="P249"/>
    <x v="0"/>
    <d v="2024-07-18T00:00:00"/>
    <x v="3"/>
    <x v="16"/>
    <n v="827"/>
    <n v="77"/>
    <n v="402"/>
    <n v="14886"/>
    <n v="14129"/>
    <n v="254"/>
    <x v="1"/>
    <x v="3"/>
    <n v="78.486497380088679"/>
    <n v="1306"/>
  </r>
  <r>
    <s v="P076"/>
    <x v="0"/>
    <d v="2024-11-07T00:00:00"/>
    <x v="1"/>
    <x v="19"/>
    <n v="1121"/>
    <n v="135"/>
    <n v="18"/>
    <n v="15694"/>
    <n v="14957"/>
    <n v="99"/>
    <x v="0"/>
    <x v="1"/>
    <n v="74.445648018350965"/>
    <n v="1274"/>
  </r>
  <r>
    <s v="P082"/>
    <x v="2"/>
    <d v="2024-07-24T00:00:00"/>
    <x v="3"/>
    <x v="3"/>
    <n v="725"/>
    <n v="88"/>
    <n v="428"/>
    <n v="14500"/>
    <n v="13637"/>
    <n v="200"/>
    <x v="3"/>
    <x v="2"/>
    <n v="80.57586206896552"/>
    <n v="1241"/>
  </r>
  <r>
    <s v="P082"/>
    <x v="2"/>
    <d v="2024-07-24T00:00:00"/>
    <x v="3"/>
    <x v="3"/>
    <n v="725"/>
    <n v="88"/>
    <n v="428"/>
    <n v="14500"/>
    <n v="13637"/>
    <n v="200"/>
    <x v="0"/>
    <x v="2"/>
    <n v="80.57586206896552"/>
    <n v="1241"/>
  </r>
  <r>
    <s v="P082"/>
    <x v="2"/>
    <d v="2024-07-24T00:00:00"/>
    <x v="3"/>
    <x v="3"/>
    <n v="725"/>
    <n v="88"/>
    <n v="428"/>
    <n v="14500"/>
    <n v="13637"/>
    <n v="200"/>
    <x v="2"/>
    <x v="2"/>
    <n v="80.57586206896552"/>
    <n v="1241"/>
  </r>
  <r>
    <s v="P153"/>
    <x v="0"/>
    <d v="2025-01-01T00:00:00"/>
    <x v="0"/>
    <x v="0"/>
    <n v="754"/>
    <n v="197"/>
    <n v="257"/>
    <n v="6786"/>
    <n v="6221"/>
    <n v="212"/>
    <x v="0"/>
    <x v="2"/>
    <n v="172.17064544650751"/>
    <n v="1208"/>
  </r>
  <r>
    <s v="P028"/>
    <x v="2"/>
    <d v="2025-03-04T00:00:00"/>
    <x v="0"/>
    <x v="20"/>
    <n v="432"/>
    <n v="624"/>
    <n v="123"/>
    <n v="6912"/>
    <n v="6259"/>
    <n v="79"/>
    <x v="3"/>
    <x v="1"/>
    <n v="169.03211805555554"/>
    <n v="1179"/>
  </r>
  <r>
    <s v="P248"/>
    <x v="3"/>
    <d v="2025-02-02T00:00:00"/>
    <x v="1"/>
    <x v="15"/>
    <n v="886"/>
    <n v="126"/>
    <n v="153"/>
    <n v="4430"/>
    <n v="4037"/>
    <n v="212"/>
    <x v="1"/>
    <x v="4"/>
    <n v="263.73589164785551"/>
    <n v="1165"/>
  </r>
  <r>
    <s v="P284"/>
    <x v="0"/>
    <d v="2024-09-17T00:00:00"/>
    <x v="2"/>
    <x v="6"/>
    <n v="571"/>
    <n v="190"/>
    <n v="352"/>
    <n v="9707"/>
    <n v="9418"/>
    <n v="231"/>
    <x v="0"/>
    <x v="1"/>
    <n v="120.36159472545586"/>
    <n v="1113"/>
  </r>
  <r>
    <s v="P175"/>
    <x v="2"/>
    <d v="2025-01-17T00:00:00"/>
    <x v="5"/>
    <x v="11"/>
    <n v="142"/>
    <n v="784"/>
    <n v="183"/>
    <n v="1704"/>
    <n v="995"/>
    <n v="154"/>
    <x v="3"/>
    <x v="1"/>
    <n v="685.65140845070425"/>
    <n v="1109"/>
  </r>
  <r>
    <s v="P232"/>
    <x v="0"/>
    <d v="2025-04-29T00:00:00"/>
    <x v="1"/>
    <x v="19"/>
    <n v="249"/>
    <n v="592"/>
    <n v="230"/>
    <n v="1494"/>
    <n v="1044"/>
    <n v="201"/>
    <x v="1"/>
    <x v="1"/>
    <n v="782.02811244979921"/>
    <n v="1071"/>
  </r>
  <r>
    <s v="P220"/>
    <x v="2"/>
    <d v="2024-06-02T00:00:00"/>
    <x v="1"/>
    <x v="7"/>
    <n v="84"/>
    <n v="897"/>
    <n v="85"/>
    <n v="588"/>
    <n v="8"/>
    <n v="12"/>
    <x v="1"/>
    <x v="4"/>
    <n v="1986.9897959183672"/>
    <n v="1066"/>
  </r>
  <r>
    <s v="P178"/>
    <x v="2"/>
    <d v="2024-11-07T00:00:00"/>
    <x v="0"/>
    <x v="20"/>
    <n v="129"/>
    <n v="643"/>
    <n v="136"/>
    <n v="1290"/>
    <n v="839"/>
    <n v="238"/>
    <x v="0"/>
    <x v="1"/>
    <n v="905.69767441860461"/>
    <n v="908"/>
  </r>
  <r>
    <s v="P058"/>
    <x v="2"/>
    <d v="2025-04-15T00:00:00"/>
    <x v="5"/>
    <x v="11"/>
    <n v="103"/>
    <n v="770"/>
    <n v="19"/>
    <n v="1030"/>
    <n v="410"/>
    <n v="262"/>
    <x v="0"/>
    <x v="1"/>
    <n v="1134.3203883495146"/>
    <n v="892"/>
  </r>
  <r>
    <s v="P066"/>
    <x v="0"/>
    <d v="2024-07-26T00:00:00"/>
    <x v="4"/>
    <x v="18"/>
    <n v="432"/>
    <n v="171"/>
    <n v="280"/>
    <n v="3024"/>
    <n v="2285"/>
    <n v="184"/>
    <x v="1"/>
    <x v="0"/>
    <n v="386.35912698412699"/>
    <n v="883"/>
  </r>
  <r>
    <s v="P259"/>
    <x v="3"/>
    <d v="2025-02-10T00:00:00"/>
    <x v="2"/>
    <x v="22"/>
    <n v="562"/>
    <n v="158"/>
    <n v="149"/>
    <n v="3372"/>
    <n v="2940"/>
    <n v="93"/>
    <x v="0"/>
    <x v="0"/>
    <n v="346.48576512455514"/>
    <n v="869"/>
  </r>
  <r>
    <s v="P031"/>
    <x v="2"/>
    <d v="2024-12-16T00:00:00"/>
    <x v="2"/>
    <x v="12"/>
    <n v="438"/>
    <n v="153"/>
    <n v="275"/>
    <n v="3066"/>
    <n v="2701"/>
    <n v="282"/>
    <x v="0"/>
    <x v="3"/>
    <n v="381.0665362035225"/>
    <n v="866"/>
  </r>
  <r>
    <s v="P088"/>
    <x v="3"/>
    <d v="2024-07-07T00:00:00"/>
    <x v="1"/>
    <x v="15"/>
    <n v="302"/>
    <n v="47"/>
    <n v="430"/>
    <n v="5738"/>
    <n v="4890"/>
    <n v="25"/>
    <x v="0"/>
    <x v="1"/>
    <n v="203.61624259323807"/>
    <n v="779"/>
  </r>
  <r>
    <s v="P138"/>
    <x v="0"/>
    <d v="2025-03-29T00:00:00"/>
    <x v="3"/>
    <x v="16"/>
    <n v="305"/>
    <n v="187"/>
    <n v="243"/>
    <n v="4575"/>
    <n v="3704"/>
    <n v="234"/>
    <x v="3"/>
    <x v="2"/>
    <n v="255.37704918032787"/>
    <n v="735"/>
  </r>
  <r>
    <s v="P105"/>
    <x v="2"/>
    <d v="2024-06-14T00:00:00"/>
    <x v="4"/>
    <x v="10"/>
    <n v="498"/>
    <n v="38"/>
    <n v="42"/>
    <n v="4482"/>
    <n v="3647"/>
    <n v="32"/>
    <x v="3"/>
    <x v="0"/>
    <n v="260.67603748326638"/>
    <n v="578"/>
  </r>
  <r>
    <s v="P227"/>
    <x v="2"/>
    <d v="2024-06-12T00:00:00"/>
    <x v="2"/>
    <x v="12"/>
    <n v="246"/>
    <n v="149"/>
    <n v="130"/>
    <n v="4674"/>
    <n v="4390"/>
    <n v="217"/>
    <x v="3"/>
    <x v="2"/>
    <n v="249.96790757381257"/>
    <n v="525"/>
  </r>
  <r>
    <s v="P143"/>
    <x v="1"/>
    <d v="2024-10-02T00:00:00"/>
    <x v="4"/>
    <x v="9"/>
    <n v="80"/>
    <n v="362"/>
    <n v="80"/>
    <n v="1040"/>
    <n v="349"/>
    <n v="117"/>
    <x v="0"/>
    <x v="2"/>
    <n v="1123.4134615384614"/>
    <n v="522"/>
  </r>
  <r>
    <s v="P062"/>
    <x v="0"/>
    <d v="2024-11-22T00:00:00"/>
    <x v="4"/>
    <x v="18"/>
    <n v="53"/>
    <n v="81"/>
    <n v="379"/>
    <n v="954"/>
    <n v="7"/>
    <n v="148"/>
    <x v="0"/>
    <x v="2"/>
    <n v="1224.6855345911949"/>
    <n v="513"/>
  </r>
  <r>
    <s v="P072"/>
    <x v="1"/>
    <d v="2025-03-03T00:00:00"/>
    <x v="5"/>
    <x v="23"/>
    <n v="296"/>
    <n v="60"/>
    <n v="141"/>
    <n v="5624"/>
    <n v="5239"/>
    <n v="88"/>
    <x v="1"/>
    <x v="3"/>
    <n v="207.74359886201992"/>
    <n v="497"/>
  </r>
  <r>
    <s v="P264"/>
    <x v="0"/>
    <d v="2025-01-30T00:00:00"/>
    <x v="3"/>
    <x v="16"/>
    <n v="59"/>
    <n v="163"/>
    <n v="93"/>
    <n v="590"/>
    <n v="475"/>
    <n v="293"/>
    <x v="0"/>
    <x v="3"/>
    <n v="1980.2542372881355"/>
    <n v="31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2024-06-03"/>
    <x v="0"/>
    <n v="1135"/>
    <n v="88"/>
    <n v="344084"/>
    <n v="8.06"/>
    <n v="5904"/>
    <n v="0.30428616268120573"/>
  </r>
  <r>
    <s v="2024-06-03"/>
    <x v="1"/>
    <n v="1312"/>
    <n v="310"/>
    <n v="42654"/>
    <n v="4.9800000000000004"/>
    <n v="9566"/>
    <n v="2.3491348994232664"/>
  </r>
  <r>
    <s v="2024-06-03"/>
    <x v="2"/>
    <n v="584"/>
    <n v="169"/>
    <n v="146834"/>
    <n v="8.31"/>
    <n v="26752"/>
    <n v="0.28263208793603661"/>
  </r>
  <r>
    <s v="2024-06-03"/>
    <x v="3"/>
    <n v="1535"/>
    <n v="445"/>
    <n v="395536"/>
    <n v="4.1100000000000003"/>
    <n v="30671"/>
    <n v="0.27557542170624166"/>
  </r>
  <r>
    <s v="2024-06-10"/>
    <x v="0"/>
    <n v="656"/>
    <n v="139"/>
    <n v="49157"/>
    <n v="9.0500000000000007"/>
    <n v="9920"/>
    <n v="1.0517322049758935"/>
  </r>
  <r>
    <s v="2024-06-10"/>
    <x v="1"/>
    <n v="1697"/>
    <n v="414"/>
    <n v="316555"/>
    <n v="2.37"/>
    <n v="7924"/>
    <n v="0.40530081660374973"/>
  </r>
  <r>
    <s v="2024-06-10"/>
    <x v="2"/>
    <n v="436"/>
    <n v="250"/>
    <n v="254347"/>
    <n v="4.01"/>
    <n v="8912"/>
    <n v="7.3128442639386351E-2"/>
  </r>
  <r>
    <s v="2024-06-10"/>
    <x v="3"/>
    <n v="1197"/>
    <n v="203"/>
    <n v="413878"/>
    <n v="3.16"/>
    <n v="21205"/>
    <n v="0.24016739232334167"/>
  </r>
  <r>
    <s v="2024-06-17"/>
    <x v="0"/>
    <n v="1048"/>
    <n v="155"/>
    <n v="456946"/>
    <n v="2.46"/>
    <n v="11329"/>
    <n v="0.19542790614208244"/>
  </r>
  <r>
    <s v="2024-06-17"/>
    <x v="1"/>
    <n v="1753"/>
    <n v="371"/>
    <n v="169496"/>
    <n v="8.11"/>
    <n v="46670"/>
    <n v="0.8153584745362723"/>
  </r>
  <r>
    <s v="2024-06-17"/>
    <x v="2"/>
    <n v="1335"/>
    <n v="40"/>
    <n v="122732"/>
    <n v="8.19"/>
    <n v="22482"/>
    <n v="1.0551445425805821"/>
  </r>
  <r>
    <s v="2024-06-17"/>
    <x v="3"/>
    <n v="403"/>
    <n v="66"/>
    <n v="382851"/>
    <n v="3.49"/>
    <n v="24313"/>
    <n v="8.8023800381871797E-2"/>
  </r>
  <r>
    <s v="2024-06-24"/>
    <x v="0"/>
    <n v="911"/>
    <n v="282"/>
    <n v="35664"/>
    <n v="6.92"/>
    <n v="18050"/>
    <n v="1.7636832660385824"/>
  </r>
  <r>
    <s v="2024-06-24"/>
    <x v="1"/>
    <n v="1779"/>
    <n v="109"/>
    <n v="26295"/>
    <n v="9.1199999999999992"/>
    <n v="30635"/>
    <n v="6.3510173036698996"/>
  </r>
  <r>
    <s v="2024-06-24"/>
    <x v="2"/>
    <n v="1238"/>
    <n v="403"/>
    <n v="298421"/>
    <n v="3.5"/>
    <n v="31280"/>
    <n v="0.27980604582117208"/>
  </r>
  <r>
    <s v="2024-06-24"/>
    <x v="3"/>
    <n v="308"/>
    <n v="431"/>
    <n v="426184"/>
    <n v="2.62"/>
    <n v="1783"/>
    <n v="-2.8860773750305036E-2"/>
  </r>
  <r>
    <s v="2024-07-01"/>
    <x v="0"/>
    <n v="226"/>
    <n v="445"/>
    <n v="419447"/>
    <n v="9.36"/>
    <n v="9566"/>
    <n v="-5.2211602419375981E-2"/>
  </r>
  <r>
    <s v="2024-07-01"/>
    <x v="1"/>
    <n v="505"/>
    <n v="441"/>
    <n v="220020"/>
    <n v="4.4800000000000004"/>
    <n v="42307"/>
    <n v="2.9088264703208796E-2"/>
  </r>
  <r>
    <s v="2024-07-01"/>
    <x v="2"/>
    <n v="1420"/>
    <n v="63"/>
    <n v="315305"/>
    <n v="6.19"/>
    <n v="5914"/>
    <n v="0.4303769366169265"/>
  </r>
  <r>
    <s v="2024-07-01"/>
    <x v="3"/>
    <n v="144"/>
    <n v="53"/>
    <n v="113678"/>
    <n v="8.7200000000000006"/>
    <n v="30060"/>
    <n v="8.0050669434719113E-2"/>
  </r>
  <r>
    <s v="2024-07-08"/>
    <x v="0"/>
    <n v="1757"/>
    <n v="85"/>
    <n v="58223"/>
    <n v="8.74"/>
    <n v="22728"/>
    <n v="2.8717173625543171"/>
  </r>
  <r>
    <s v="2024-07-08"/>
    <x v="1"/>
    <n v="350"/>
    <n v="41"/>
    <n v="251694"/>
    <n v="1.91"/>
    <n v="38610"/>
    <n v="0.12276812319721568"/>
  </r>
  <r>
    <s v="2024-07-08"/>
    <x v="2"/>
    <n v="987"/>
    <n v="440"/>
    <n v="389810"/>
    <n v="4.66"/>
    <n v="2932"/>
    <n v="0.140324773607655"/>
  </r>
  <r>
    <s v="2024-07-08"/>
    <x v="3"/>
    <n v="883"/>
    <n v="369"/>
    <n v="233694"/>
    <n v="2.88"/>
    <n v="15071"/>
    <n v="0.21994574101175038"/>
  </r>
  <r>
    <s v="2024-07-15"/>
    <x v="0"/>
    <n v="1960"/>
    <n v="115"/>
    <n v="154169"/>
    <n v="3.74"/>
    <n v="10740"/>
    <n v="1.1967386439556591"/>
  </r>
  <r>
    <s v="2024-07-15"/>
    <x v="1"/>
    <n v="170"/>
    <n v="334"/>
    <n v="334626"/>
    <n v="6.44"/>
    <n v="43420"/>
    <n v="-4.9009939454794309E-2"/>
  </r>
  <r>
    <s v="2024-07-15"/>
    <x v="2"/>
    <n v="704"/>
    <n v="275"/>
    <n v="226002"/>
    <n v="8.56"/>
    <n v="32393"/>
    <n v="0.18982132901478749"/>
  </r>
  <r>
    <s v="2024-07-15"/>
    <x v="3"/>
    <n v="224"/>
    <n v="64"/>
    <n v="156683"/>
    <n v="4.5599999999999996"/>
    <n v="28474"/>
    <n v="0.10211701333265255"/>
  </r>
  <r>
    <s v="2024-07-22"/>
    <x v="0"/>
    <n v="508"/>
    <n v="349"/>
    <n v="473812"/>
    <n v="7.88"/>
    <n v="17328"/>
    <n v="3.3557613568250697E-2"/>
  </r>
  <r>
    <s v="2024-07-22"/>
    <x v="1"/>
    <n v="1391"/>
    <n v="430"/>
    <n v="295032"/>
    <n v="7.86"/>
    <n v="26067"/>
    <n v="0.32572737872501967"/>
  </r>
  <r>
    <s v="2024-07-22"/>
    <x v="2"/>
    <n v="1701"/>
    <n v="385"/>
    <n v="198278"/>
    <n v="5.34"/>
    <n v="32763"/>
    <n v="0.66371458255580551"/>
  </r>
  <r>
    <s v="2024-07-22"/>
    <x v="3"/>
    <n v="804"/>
    <n v="487"/>
    <n v="306564"/>
    <n v="5.52"/>
    <n v="26452"/>
    <n v="0.10340418313957282"/>
  </r>
  <r>
    <s v="2024-07-29"/>
    <x v="0"/>
    <n v="653"/>
    <n v="112"/>
    <n v="23664"/>
    <n v="4.05"/>
    <n v="15353"/>
    <n v="2.2861730899256254"/>
  </r>
  <r>
    <s v="2024-07-29"/>
    <x v="1"/>
    <n v="160"/>
    <n v="478"/>
    <n v="435034"/>
    <n v="7.73"/>
    <n v="4839"/>
    <n v="-7.309773488968678E-2"/>
  </r>
  <r>
    <s v="2024-07-29"/>
    <x v="2"/>
    <n v="1756"/>
    <n v="261"/>
    <n v="287574"/>
    <n v="4.3600000000000003"/>
    <n v="39272"/>
    <n v="0.51986619096302167"/>
  </r>
  <r>
    <s v="2024-07-29"/>
    <x v="3"/>
    <n v="576"/>
    <n v="101"/>
    <n v="62499"/>
    <n v="3.48"/>
    <n v="16804"/>
    <n v="0.76001216019456308"/>
  </r>
  <r>
    <s v="2024-08-05"/>
    <x v="0"/>
    <n v="645"/>
    <n v="293"/>
    <n v="437968"/>
    <n v="7.83"/>
    <n v="49303"/>
    <n v="8.0371168669857163E-2"/>
  </r>
  <r>
    <s v="2024-08-05"/>
    <x v="1"/>
    <n v="214"/>
    <n v="411"/>
    <n v="125034"/>
    <n v="6.11"/>
    <n v="26455"/>
    <n v="-0.15755714445670779"/>
  </r>
  <r>
    <s v="2024-08-05"/>
    <x v="2"/>
    <n v="826"/>
    <n v="498"/>
    <n v="449994"/>
    <n v="9.43"/>
    <n v="12384"/>
    <n v="7.2889860753698937E-2"/>
  </r>
  <r>
    <s v="2024-08-05"/>
    <x v="3"/>
    <n v="460"/>
    <n v="141"/>
    <n v="320650"/>
    <n v="4.04"/>
    <n v="49372"/>
    <n v="9.9485420240137221E-2"/>
  </r>
  <r>
    <s v="2024-08-12"/>
    <x v="0"/>
    <n v="1528"/>
    <n v="203"/>
    <n v="489188"/>
    <n v="6.23"/>
    <n v="47101"/>
    <n v="0.27085701202809553"/>
  </r>
  <r>
    <s v="2024-08-12"/>
    <x v="1"/>
    <n v="1534"/>
    <n v="200"/>
    <n v="307612"/>
    <n v="6.01"/>
    <n v="37903"/>
    <n v="0.43366318609156984"/>
  </r>
  <r>
    <s v="2024-08-12"/>
    <x v="2"/>
    <n v="485"/>
    <n v="448"/>
    <n v="434883"/>
    <n v="8.5500000000000007"/>
    <n v="33258"/>
    <n v="8.5080354946042956E-3"/>
  </r>
  <r>
    <s v="2024-08-12"/>
    <x v="3"/>
    <n v="1210"/>
    <n v="178"/>
    <n v="102042"/>
    <n v="5.42"/>
    <n v="6915"/>
    <n v="1.011348268360087"/>
  </r>
  <r>
    <s v="2024-08-19"/>
    <x v="0"/>
    <n v="215"/>
    <n v="139"/>
    <n v="325444"/>
    <n v="3.25"/>
    <n v="35501"/>
    <n v="2.335271198731579E-2"/>
  </r>
  <r>
    <s v="2024-08-19"/>
    <x v="1"/>
    <n v="1078"/>
    <n v="20"/>
    <n v="183924"/>
    <n v="8.84"/>
    <n v="14203"/>
    <n v="0.57523759813836151"/>
  </r>
  <r>
    <s v="2024-08-19"/>
    <x v="2"/>
    <n v="1751"/>
    <n v="86"/>
    <n v="188655"/>
    <n v="7.24"/>
    <n v="22206"/>
    <n v="0.88256340939810773"/>
  </r>
  <r>
    <s v="2024-08-19"/>
    <x v="3"/>
    <n v="221"/>
    <n v="31"/>
    <n v="87443"/>
    <n v="6.19"/>
    <n v="10283"/>
    <n v="0.21728440241071326"/>
  </r>
  <r>
    <s v="2024-08-26"/>
    <x v="0"/>
    <n v="1685"/>
    <n v="76"/>
    <n v="453799"/>
    <n v="5.71"/>
    <n v="24913"/>
    <n v="0.35456226214689768"/>
  </r>
  <r>
    <s v="2024-08-26"/>
    <x v="1"/>
    <n v="248"/>
    <n v="211"/>
    <n v="379380"/>
    <n v="9.0399999999999991"/>
    <n v="26925"/>
    <n v="9.7527544941747053E-3"/>
  </r>
  <r>
    <s v="2024-08-26"/>
    <x v="2"/>
    <n v="1300"/>
    <n v="71"/>
    <n v="186454"/>
    <n v="3.91"/>
    <n v="9942"/>
    <n v="0.65914381026955704"/>
  </r>
  <r>
    <s v="2024-08-26"/>
    <x v="3"/>
    <n v="422"/>
    <n v="394"/>
    <n v="239044"/>
    <n v="7.83"/>
    <n v="32929"/>
    <n v="1.1713324743561855E-2"/>
  </r>
  <r>
    <s v="2024-09-02"/>
    <x v="0"/>
    <n v="1429"/>
    <n v="182"/>
    <n v="101332"/>
    <n v="7.16"/>
    <n v="37829"/>
    <n v="1.2306082974775983"/>
  </r>
  <r>
    <s v="2024-09-02"/>
    <x v="1"/>
    <n v="1520"/>
    <n v="475"/>
    <n v="496982"/>
    <n v="6.41"/>
    <n v="24384"/>
    <n v="0.21026918479944948"/>
  </r>
  <r>
    <s v="2024-09-02"/>
    <x v="2"/>
    <n v="557"/>
    <n v="360"/>
    <n v="318779"/>
    <n v="8.02"/>
    <n v="25797"/>
    <n v="6.1798299135137513E-2"/>
  </r>
  <r>
    <s v="2024-09-02"/>
    <x v="3"/>
    <n v="728"/>
    <n v="395"/>
    <n v="370971"/>
    <n v="3.86"/>
    <n v="12646"/>
    <n v="8.9764429025449427E-2"/>
  </r>
  <r>
    <s v="2024-09-09"/>
    <x v="0"/>
    <n v="1592"/>
    <n v="20"/>
    <n v="378054"/>
    <n v="9.09"/>
    <n v="26663"/>
    <n v="0.41581361392816901"/>
  </r>
  <r>
    <s v="2024-09-09"/>
    <x v="1"/>
    <n v="1842"/>
    <n v="414"/>
    <n v="307524"/>
    <n v="1.76"/>
    <n v="40478"/>
    <n v="0.46435400163889645"/>
  </r>
  <r>
    <s v="2024-09-09"/>
    <x v="2"/>
    <n v="751"/>
    <n v="491"/>
    <n v="434047"/>
    <n v="9.24"/>
    <n v="15476"/>
    <n v="5.990134708914012E-2"/>
  </r>
  <r>
    <s v="2024-09-09"/>
    <x v="3"/>
    <n v="1409"/>
    <n v="309"/>
    <n v="64583"/>
    <n v="8.99"/>
    <n v="10217"/>
    <n v="1.703234597339857"/>
  </r>
  <r>
    <s v="2024-09-16"/>
    <x v="0"/>
    <n v="778"/>
    <n v="401"/>
    <n v="50793"/>
    <n v="3.4"/>
    <n v="21939"/>
    <n v="0.74222825979957874"/>
  </r>
  <r>
    <s v="2024-09-16"/>
    <x v="1"/>
    <n v="443"/>
    <n v="345"/>
    <n v="474162"/>
    <n v="9.1999999999999993"/>
    <n v="47462"/>
    <n v="2.0668041724136478E-2"/>
  </r>
  <r>
    <s v="2024-09-16"/>
    <x v="2"/>
    <n v="1472"/>
    <n v="347"/>
    <n v="392355"/>
    <n v="8.59"/>
    <n v="30270"/>
    <n v="0.2867301296020186"/>
  </r>
  <r>
    <s v="2024-09-16"/>
    <x v="3"/>
    <n v="123"/>
    <n v="155"/>
    <n v="119934"/>
    <n v="3.5"/>
    <n v="5442"/>
    <n v="-2.6681341404439108E-2"/>
  </r>
  <r>
    <s v="2024-09-23"/>
    <x v="0"/>
    <n v="817"/>
    <n v="151"/>
    <n v="422625"/>
    <n v="2.36"/>
    <n v="1083"/>
    <n v="0.15758651286601597"/>
  </r>
  <r>
    <s v="2024-09-23"/>
    <x v="1"/>
    <n v="198"/>
    <n v="217"/>
    <n v="239753"/>
    <n v="7.36"/>
    <n v="11901"/>
    <n v="-7.924822629956663E-3"/>
  </r>
  <r>
    <s v="2024-09-23"/>
    <x v="2"/>
    <n v="1911"/>
    <n v="231"/>
    <n v="268516"/>
    <n v="8.5500000000000007"/>
    <n v="24018"/>
    <n v="0.62566104068286432"/>
  </r>
  <r>
    <s v="2024-09-23"/>
    <x v="3"/>
    <n v="1218"/>
    <n v="212"/>
    <n v="63177"/>
    <n v="8.1300000000000008"/>
    <n v="38883"/>
    <n v="1.592351646960128"/>
  </r>
  <r>
    <s v="2024-09-30"/>
    <x v="0"/>
    <n v="1433"/>
    <n v="408"/>
    <n v="370269"/>
    <n v="3.3"/>
    <n v="30575"/>
    <n v="0.27682576721248608"/>
  </r>
  <r>
    <s v="2024-09-30"/>
    <x v="1"/>
    <n v="250"/>
    <n v="429"/>
    <n v="453423"/>
    <n v="1.77"/>
    <n v="2315"/>
    <n v="-3.9477485703195474E-2"/>
  </r>
  <r>
    <s v="2024-09-30"/>
    <x v="2"/>
    <n v="752"/>
    <n v="153"/>
    <n v="64906"/>
    <n v="2.09"/>
    <n v="12148"/>
    <n v="0.92287307798970819"/>
  </r>
  <r>
    <s v="2024-09-30"/>
    <x v="3"/>
    <n v="1918"/>
    <n v="212"/>
    <n v="94360"/>
    <n v="7.36"/>
    <n v="36851"/>
    <n v="1.8079694785926241"/>
  </r>
  <r>
    <s v="2024-10-07"/>
    <x v="0"/>
    <n v="1939"/>
    <n v="67"/>
    <n v="187183"/>
    <n v="6.25"/>
    <n v="41215"/>
    <n v="1.000090820213374"/>
  </r>
  <r>
    <s v="2024-10-07"/>
    <x v="1"/>
    <n v="1929"/>
    <n v="267"/>
    <n v="379363"/>
    <n v="1.75"/>
    <n v="43836"/>
    <n v="0.43810281972675247"/>
  </r>
  <r>
    <s v="2024-10-07"/>
    <x v="2"/>
    <n v="437"/>
    <n v="330"/>
    <n v="476486"/>
    <n v="4.97"/>
    <n v="4509"/>
    <n v="2.2456063766826309E-2"/>
  </r>
  <r>
    <s v="2024-10-07"/>
    <x v="3"/>
    <n v="307"/>
    <n v="189"/>
    <n v="117767"/>
    <n v="9.3000000000000007"/>
    <n v="27822"/>
    <n v="0.10019784829366461"/>
  </r>
  <r>
    <s v="2024-10-14"/>
    <x v="0"/>
    <n v="1527"/>
    <n v="303"/>
    <n v="388555"/>
    <n v="8.9"/>
    <n v="36397"/>
    <n v="0.31501331857780751"/>
  </r>
  <r>
    <s v="2024-10-14"/>
    <x v="1"/>
    <n v="643"/>
    <n v="358"/>
    <n v="157599"/>
    <n v="3.88"/>
    <n v="7285"/>
    <n v="0.18083871090552606"/>
  </r>
  <r>
    <s v="2024-10-14"/>
    <x v="2"/>
    <n v="201"/>
    <n v="221"/>
    <n v="309772"/>
    <n v="5.9"/>
    <n v="33174"/>
    <n v="-6.4563614529395824E-3"/>
  </r>
  <r>
    <s v="2024-10-14"/>
    <x v="3"/>
    <n v="414"/>
    <n v="47"/>
    <n v="199178"/>
    <n v="1.53"/>
    <n v="6742"/>
    <n v="0.18425729749269498"/>
  </r>
  <r>
    <s v="2024-10-21"/>
    <x v="0"/>
    <n v="703"/>
    <n v="441"/>
    <n v="357089"/>
    <n v="6.5"/>
    <n v="32478"/>
    <n v="7.3371064356504964E-2"/>
  </r>
  <r>
    <s v="2024-10-21"/>
    <x v="1"/>
    <n v="508"/>
    <n v="69"/>
    <n v="23492"/>
    <n v="3.16"/>
    <n v="42824"/>
    <n v="1.8687212668142346"/>
  </r>
  <r>
    <s v="2024-10-21"/>
    <x v="2"/>
    <n v="697"/>
    <n v="61"/>
    <n v="258287"/>
    <n v="8.25"/>
    <n v="21208"/>
    <n v="0.24623771231227276"/>
  </r>
  <r>
    <s v="2024-10-21"/>
    <x v="3"/>
    <n v="1707"/>
    <n v="223"/>
    <n v="256910"/>
    <n v="5.41"/>
    <n v="44321"/>
    <n v="0.57763419096181545"/>
  </r>
  <r>
    <s v="2024-10-28"/>
    <x v="0"/>
    <n v="642"/>
    <n v="66"/>
    <n v="346522"/>
    <n v="5.85"/>
    <n v="13116"/>
    <n v="0.166223212379012"/>
  </r>
  <r>
    <s v="2024-10-28"/>
    <x v="1"/>
    <n v="859"/>
    <n v="473"/>
    <n v="209987"/>
    <n v="4.46"/>
    <n v="30214"/>
    <n v="0.18382090319876945"/>
  </r>
  <r>
    <s v="2024-10-28"/>
    <x v="2"/>
    <n v="191"/>
    <n v="154"/>
    <n v="240550"/>
    <n v="5.22"/>
    <n v="15827"/>
    <n v="1.5381417584701726E-2"/>
  </r>
  <r>
    <s v="2024-10-28"/>
    <x v="3"/>
    <n v="1814"/>
    <n v="157"/>
    <n v="305827"/>
    <n v="1.99"/>
    <n v="46643"/>
    <n v="0.54180958515762179"/>
  </r>
  <r>
    <s v="2024-11-04"/>
    <x v="0"/>
    <n v="1466"/>
    <n v="69"/>
    <n v="54935"/>
    <n v="6.85"/>
    <n v="36484"/>
    <n v="2.5430053699827071"/>
  </r>
  <r>
    <s v="2024-11-04"/>
    <x v="1"/>
    <n v="947"/>
    <n v="407"/>
    <n v="319186"/>
    <n v="3.32"/>
    <n v="4996"/>
    <n v="0.16918035252172714"/>
  </r>
  <r>
    <s v="2024-11-04"/>
    <x v="2"/>
    <n v="1821"/>
    <n v="218"/>
    <n v="439080"/>
    <n v="5.68"/>
    <n v="36095"/>
    <n v="0.36508153411678962"/>
  </r>
  <r>
    <s v="2024-11-04"/>
    <x v="3"/>
    <n v="1507"/>
    <n v="463"/>
    <n v="258944"/>
    <n v="6.08"/>
    <n v="16443"/>
    <n v="0.40317597627286211"/>
  </r>
  <r>
    <s v="2024-11-11"/>
    <x v="0"/>
    <n v="1075"/>
    <n v="173"/>
    <n v="51395"/>
    <n v="4.66"/>
    <n v="47812"/>
    <n v="1.7550345364335054"/>
  </r>
  <r>
    <s v="2024-11-11"/>
    <x v="1"/>
    <n v="171"/>
    <n v="277"/>
    <n v="309483"/>
    <n v="8.6999999999999993"/>
    <n v="38452"/>
    <n v="-3.4250669665215859E-2"/>
  </r>
  <r>
    <s v="2024-11-11"/>
    <x v="2"/>
    <n v="1487"/>
    <n v="337"/>
    <n v="87305"/>
    <n v="2.46"/>
    <n v="30428"/>
    <n v="1.3172212358971422"/>
  </r>
  <r>
    <s v="2024-11-11"/>
    <x v="3"/>
    <n v="454"/>
    <n v="105"/>
    <n v="121091"/>
    <n v="7.97"/>
    <n v="9269"/>
    <n v="0.28821299683708945"/>
  </r>
  <r>
    <s v="2024-11-18"/>
    <x v="0"/>
    <n v="187"/>
    <n v="236"/>
    <n v="51087"/>
    <n v="9.41"/>
    <n v="29533"/>
    <n v="-9.5914811987394058E-2"/>
  </r>
  <r>
    <s v="2024-11-18"/>
    <x v="1"/>
    <n v="513"/>
    <n v="441"/>
    <n v="338847"/>
    <n v="2.68"/>
    <n v="39997"/>
    <n v="2.124852809675163E-2"/>
  </r>
  <r>
    <s v="2024-11-18"/>
    <x v="2"/>
    <n v="628"/>
    <n v="183"/>
    <n v="487523"/>
    <n v="7.32"/>
    <n v="5391"/>
    <n v="9.1277744844858608E-2"/>
  </r>
  <r>
    <s v="2024-11-18"/>
    <x v="3"/>
    <n v="278"/>
    <n v="218"/>
    <n v="301695"/>
    <n v="4.68"/>
    <n v="22373"/>
    <n v="1.9887634863023914E-2"/>
  </r>
  <r>
    <s v="2024-11-25"/>
    <x v="0"/>
    <n v="1854"/>
    <n v="161"/>
    <n v="282466"/>
    <n v="5.17"/>
    <n v="1810"/>
    <n v="0.59936417126309005"/>
  </r>
  <r>
    <s v="2024-11-25"/>
    <x v="1"/>
    <n v="1710"/>
    <n v="378"/>
    <n v="336661"/>
    <n v="6.2"/>
    <n v="28498"/>
    <n v="0.39565022381564841"/>
  </r>
  <r>
    <s v="2024-11-25"/>
    <x v="2"/>
    <n v="330"/>
    <n v="232"/>
    <n v="88455"/>
    <n v="2.69"/>
    <n v="39530"/>
    <n v="0.11079079758069074"/>
  </r>
  <r>
    <s v="2024-11-25"/>
    <x v="3"/>
    <n v="1293"/>
    <n v="408"/>
    <n v="62535"/>
    <n v="8.9"/>
    <n v="37876"/>
    <n v="1.4152074838090669"/>
  </r>
  <r>
    <s v="2024-12-02"/>
    <x v="0"/>
    <n v="1696"/>
    <n v="71"/>
    <n v="421957"/>
    <n v="3.79"/>
    <n v="36103"/>
    <n v="0.38511033114748661"/>
  </r>
  <r>
    <s v="2024-12-02"/>
    <x v="1"/>
    <n v="1902"/>
    <n v="196"/>
    <n v="470269"/>
    <n v="4.79"/>
    <n v="26103"/>
    <n v="0.36277109484146308"/>
  </r>
  <r>
    <s v="2024-12-02"/>
    <x v="2"/>
    <n v="1441"/>
    <n v="268"/>
    <n v="309904"/>
    <n v="6.37"/>
    <n v="3455"/>
    <n v="0.37850431101244258"/>
  </r>
  <r>
    <s v="2024-12-02"/>
    <x v="3"/>
    <n v="452"/>
    <n v="161"/>
    <n v="221274"/>
    <n v="2.65"/>
    <n v="40888"/>
    <n v="0.13151115811166245"/>
  </r>
  <r>
    <s v="2024-12-09"/>
    <x v="0"/>
    <n v="1494"/>
    <n v="375"/>
    <n v="220616"/>
    <n v="1.81"/>
    <n v="22724"/>
    <n v="0.5072161583928636"/>
  </r>
  <r>
    <s v="2024-12-09"/>
    <x v="1"/>
    <n v="1514"/>
    <n v="141"/>
    <n v="35842"/>
    <n v="7.47"/>
    <n v="18601"/>
    <n v="3.8307014117515763"/>
  </r>
  <r>
    <s v="2024-12-09"/>
    <x v="2"/>
    <n v="1937"/>
    <n v="210"/>
    <n v="20607"/>
    <n v="4.2"/>
    <n v="20861"/>
    <n v="8.3806473528412688"/>
  </r>
  <r>
    <s v="2024-12-09"/>
    <x v="3"/>
    <n v="736"/>
    <n v="163"/>
    <n v="451894"/>
    <n v="5.43"/>
    <n v="46625"/>
    <n v="0.12679964770499277"/>
  </r>
  <r>
    <s v="2024-12-16"/>
    <x v="0"/>
    <n v="1502"/>
    <n v="70"/>
    <n v="465553"/>
    <n v="3.32"/>
    <n v="20692"/>
    <n v="0.30759118725472717"/>
  </r>
  <r>
    <s v="2024-12-16"/>
    <x v="1"/>
    <n v="1623"/>
    <n v="246"/>
    <n v="415815"/>
    <n v="8.11"/>
    <n v="18656"/>
    <n v="0.33115688467227011"/>
  </r>
  <r>
    <s v="2024-12-16"/>
    <x v="2"/>
    <n v="1592"/>
    <n v="233"/>
    <n v="327183"/>
    <n v="6.66"/>
    <n v="13316"/>
    <n v="0.41536387893013998"/>
  </r>
  <r>
    <s v="2024-12-16"/>
    <x v="3"/>
    <n v="1004"/>
    <n v="128"/>
    <n v="488901"/>
    <n v="8.09"/>
    <n v="49558"/>
    <n v="0.17917737946946316"/>
  </r>
  <r>
    <s v="2024-12-23"/>
    <x v="0"/>
    <n v="1092"/>
    <n v="408"/>
    <n v="280795"/>
    <n v="8.44"/>
    <n v="4683"/>
    <n v="0.24359408109118752"/>
  </r>
  <r>
    <s v="2024-12-23"/>
    <x v="1"/>
    <n v="1155"/>
    <n v="425"/>
    <n v="93347"/>
    <n v="2.02"/>
    <n v="47502"/>
    <n v="0.78202834584935776"/>
  </r>
  <r>
    <s v="2024-12-23"/>
    <x v="2"/>
    <n v="1137"/>
    <n v="226"/>
    <n v="81119"/>
    <n v="7.74"/>
    <n v="35359"/>
    <n v="1.123041457611657"/>
  </r>
  <r>
    <s v="2024-12-23"/>
    <x v="3"/>
    <n v="1900"/>
    <n v="311"/>
    <n v="25177"/>
    <n v="2.89"/>
    <n v="14154"/>
    <n v="6.3113158835445047"/>
  </r>
  <r>
    <s v="2024-12-30"/>
    <x v="0"/>
    <n v="1814"/>
    <n v="49"/>
    <n v="140804"/>
    <n v="1.76"/>
    <n v="4313"/>
    <n v="1.2535155251271271"/>
  </r>
  <r>
    <s v="2024-12-30"/>
    <x v="1"/>
    <n v="1980"/>
    <n v="204"/>
    <n v="379431"/>
    <n v="3.09"/>
    <n v="25140"/>
    <n v="0.46806929323118035"/>
  </r>
  <r>
    <s v="2024-12-30"/>
    <x v="2"/>
    <n v="1786"/>
    <n v="257"/>
    <n v="274831"/>
    <n v="4.68"/>
    <n v="9118"/>
    <n v="0.55634189738421069"/>
  </r>
  <r>
    <s v="2024-12-30"/>
    <x v="3"/>
    <n v="1495"/>
    <n v="35"/>
    <n v="136845"/>
    <n v="4.4800000000000004"/>
    <n v="39931"/>
    <n v="1.0669005078738718"/>
  </r>
  <r>
    <s v="2025-01-06"/>
    <x v="0"/>
    <n v="1013"/>
    <n v="110"/>
    <n v="466382"/>
    <n v="5.3"/>
    <n v="37132"/>
    <n v="0.19361810704529764"/>
  </r>
  <r>
    <s v="2025-01-06"/>
    <x v="1"/>
    <n v="816"/>
    <n v="196"/>
    <n v="95728"/>
    <n v="8.1999999999999993"/>
    <n v="17951"/>
    <n v="0.64766839378238339"/>
  </r>
  <r>
    <s v="2025-01-06"/>
    <x v="2"/>
    <n v="1633"/>
    <n v="445"/>
    <n v="371156"/>
    <n v="2.2200000000000002"/>
    <n v="2798"/>
    <n v="0.32008104408927779"/>
  </r>
  <r>
    <s v="2025-01-06"/>
    <x v="3"/>
    <n v="891"/>
    <n v="45"/>
    <n v="95410"/>
    <n v="8.33"/>
    <n v="15045"/>
    <n v="0.88669950738916259"/>
  </r>
  <r>
    <s v="2025-01-13"/>
    <x v="0"/>
    <n v="1855"/>
    <n v="133"/>
    <n v="349413"/>
    <n v="3.3"/>
    <n v="14548"/>
    <n v="0.49282654051223052"/>
  </r>
  <r>
    <s v="2025-01-13"/>
    <x v="1"/>
    <n v="651"/>
    <n v="353"/>
    <n v="224699"/>
    <n v="5.61"/>
    <n v="45708"/>
    <n v="0.13262186302564766"/>
  </r>
  <r>
    <s v="2025-01-13"/>
    <x v="2"/>
    <n v="118"/>
    <n v="262"/>
    <n v="487896"/>
    <n v="2.56"/>
    <n v="12350"/>
    <n v="-2.9514486693885584E-2"/>
  </r>
  <r>
    <s v="2025-01-13"/>
    <x v="3"/>
    <n v="1331"/>
    <n v="430"/>
    <n v="14437"/>
    <n v="3.29"/>
    <n v="40868"/>
    <n v="6.2409087760615085"/>
  </r>
  <r>
    <s v="2025-01-20"/>
    <x v="0"/>
    <n v="1748"/>
    <n v="176"/>
    <n v="383681"/>
    <n v="9.24"/>
    <n v="43122"/>
    <n v="0.40971536250166152"/>
  </r>
  <r>
    <s v="2025-01-20"/>
    <x v="1"/>
    <n v="663"/>
    <n v="236"/>
    <n v="479490"/>
    <n v="4.51"/>
    <n v="23853"/>
    <n v="8.905295209493419E-2"/>
  </r>
  <r>
    <s v="2025-01-20"/>
    <x v="2"/>
    <n v="1040"/>
    <n v="149"/>
    <n v="124404"/>
    <n v="5.23"/>
    <n v="45380"/>
    <n v="0.71621491270377158"/>
  </r>
  <r>
    <s v="2025-01-20"/>
    <x v="3"/>
    <n v="1166"/>
    <n v="442"/>
    <n v="336949"/>
    <n v="4.68"/>
    <n v="7705"/>
    <n v="0.2148693125665902"/>
  </r>
  <r>
    <s v="2025-01-27"/>
    <x v="0"/>
    <n v="115"/>
    <n v="281"/>
    <n v="357265"/>
    <n v="9.23"/>
    <n v="25525"/>
    <n v="-4.6464109274628081E-2"/>
  </r>
  <r>
    <s v="2025-01-27"/>
    <x v="1"/>
    <n v="1249"/>
    <n v="351"/>
    <n v="321307"/>
    <n v="6.37"/>
    <n v="20560"/>
    <n v="0.27948348464241363"/>
  </r>
  <r>
    <s v="2025-01-27"/>
    <x v="2"/>
    <n v="1501"/>
    <n v="75"/>
    <n v="262569"/>
    <n v="2.0099999999999998"/>
    <n v="19119"/>
    <n v="0.54309533874905258"/>
  </r>
  <r>
    <s v="2025-01-27"/>
    <x v="3"/>
    <n v="1411"/>
    <n v="186"/>
    <n v="461669"/>
    <n v="3.72"/>
    <n v="43999"/>
    <n v="0.26534161921203286"/>
  </r>
  <r>
    <s v="2025-02-03"/>
    <x v="0"/>
    <n v="1556"/>
    <n v="476"/>
    <n v="351556"/>
    <n v="3.89"/>
    <n v="10825"/>
    <n v="0.30720567989168157"/>
  </r>
  <r>
    <s v="2025-02-03"/>
    <x v="1"/>
    <n v="1159"/>
    <n v="411"/>
    <n v="135987"/>
    <n v="8.6999999999999993"/>
    <n v="40323"/>
    <n v="0.5500525785553031"/>
  </r>
  <r>
    <s v="2025-02-03"/>
    <x v="2"/>
    <n v="927"/>
    <n v="358"/>
    <n v="177554"/>
    <n v="6.95"/>
    <n v="48270"/>
    <n v="0.32046588643454949"/>
  </r>
  <r>
    <s v="2025-02-03"/>
    <x v="3"/>
    <n v="152"/>
    <n v="355"/>
    <n v="270766"/>
    <n v="9.48"/>
    <n v="18001"/>
    <n v="-7.4972485467156139E-2"/>
  </r>
  <r>
    <s v="2025-02-10"/>
    <x v="0"/>
    <n v="1957"/>
    <n v="234"/>
    <n v="222126"/>
    <n v="4.6100000000000003"/>
    <n v="3314"/>
    <n v="0.77568587198256844"/>
  </r>
  <r>
    <s v="2025-02-10"/>
    <x v="1"/>
    <n v="1294"/>
    <n v="382"/>
    <n v="309914"/>
    <n v="8.0299999999999994"/>
    <n v="23489"/>
    <n v="0.29427518601934727"/>
  </r>
  <r>
    <s v="2025-02-10"/>
    <x v="2"/>
    <n v="1587"/>
    <n v="385"/>
    <n v="126582"/>
    <n v="6.99"/>
    <n v="42832"/>
    <n v="0.94958208908059605"/>
  </r>
  <r>
    <s v="2025-02-10"/>
    <x v="3"/>
    <n v="1707"/>
    <n v="263"/>
    <n v="485280"/>
    <n v="9.0299999999999994"/>
    <n v="24494"/>
    <n v="0.29756017144741181"/>
  </r>
  <r>
    <s v="2025-02-17"/>
    <x v="0"/>
    <n v="1138"/>
    <n v="173"/>
    <n v="453243"/>
    <n v="2.86"/>
    <n v="44097"/>
    <n v="0.21291007252180397"/>
  </r>
  <r>
    <s v="2025-02-17"/>
    <x v="1"/>
    <n v="1895"/>
    <n v="305"/>
    <n v="104967"/>
    <n v="3.85"/>
    <n v="31853"/>
    <n v="1.5147617822744293"/>
  </r>
  <r>
    <s v="2025-02-17"/>
    <x v="2"/>
    <n v="362"/>
    <n v="399"/>
    <n v="145608"/>
    <n v="7.3"/>
    <n v="37636"/>
    <n v="-2.5410691720235155E-2"/>
  </r>
  <r>
    <s v="2025-02-17"/>
    <x v="3"/>
    <n v="1662"/>
    <n v="487"/>
    <n v="105980"/>
    <n v="9.08"/>
    <n v="22996"/>
    <n v="1.1086997546706925"/>
  </r>
  <r>
    <s v="2025-02-24"/>
    <x v="0"/>
    <n v="1440"/>
    <n v="65"/>
    <n v="126524"/>
    <n v="4.34"/>
    <n v="49772"/>
    <n v="1.08675033985647"/>
  </r>
  <r>
    <s v="2025-02-24"/>
    <x v="1"/>
    <n v="1884"/>
    <n v="177"/>
    <n v="230448"/>
    <n v="7.8"/>
    <n v="22713"/>
    <n v="0.74073109768798173"/>
  </r>
  <r>
    <s v="2025-02-24"/>
    <x v="2"/>
    <n v="861"/>
    <n v="153"/>
    <n v="317007"/>
    <n v="3.85"/>
    <n v="8718"/>
    <n v="0.22333891680625351"/>
  </r>
  <r>
    <s v="2025-02-24"/>
    <x v="3"/>
    <n v="1063"/>
    <n v="47"/>
    <n v="464239"/>
    <n v="6.58"/>
    <n v="39031"/>
    <n v="0.21885278918832757"/>
  </r>
  <r>
    <s v="2025-03-03"/>
    <x v="0"/>
    <n v="1371"/>
    <n v="56"/>
    <n v="257579"/>
    <n v="8.6199999999999992"/>
    <n v="33799"/>
    <n v="0.51052298518124528"/>
  </r>
  <r>
    <s v="2025-03-03"/>
    <x v="1"/>
    <n v="345"/>
    <n v="464"/>
    <n v="366881"/>
    <n v="4.55"/>
    <n v="20553"/>
    <n v="-3.2435585380545737E-2"/>
  </r>
  <r>
    <s v="2025-03-03"/>
    <x v="2"/>
    <n v="946"/>
    <n v="47"/>
    <n v="466575"/>
    <n v="8.33"/>
    <n v="10002"/>
    <n v="0.19268070513850935"/>
  </r>
  <r>
    <s v="2025-03-03"/>
    <x v="3"/>
    <n v="510"/>
    <n v="195"/>
    <n v="224534"/>
    <n v="9.4"/>
    <n v="30987"/>
    <n v="0.14029055733207443"/>
  </r>
  <r>
    <s v="2025-03-10"/>
    <x v="0"/>
    <n v="393"/>
    <n v="181"/>
    <n v="462142"/>
    <n v="7.23"/>
    <n v="6296"/>
    <n v="4.5873346287504703E-2"/>
  </r>
  <r>
    <s v="2025-03-10"/>
    <x v="1"/>
    <n v="1098"/>
    <n v="190"/>
    <n v="340842"/>
    <n v="9.39"/>
    <n v="21539"/>
    <n v="0.26639909400836753"/>
  </r>
  <r>
    <s v="2025-03-10"/>
    <x v="2"/>
    <n v="1399"/>
    <n v="49"/>
    <n v="12471"/>
    <n v="5.12"/>
    <n v="14722"/>
    <n v="10.825114265095021"/>
  </r>
  <r>
    <s v="2025-03-10"/>
    <x v="3"/>
    <n v="1658"/>
    <n v="416"/>
    <n v="98397"/>
    <n v="6.11"/>
    <n v="11383"/>
    <n v="1.2622336046830696"/>
  </r>
  <r>
    <s v="2025-03-17"/>
    <x v="0"/>
    <n v="1102"/>
    <n v="422"/>
    <n v="410330"/>
    <n v="7.74"/>
    <n v="9480"/>
    <n v="0.16572027392586453"/>
  </r>
  <r>
    <s v="2025-03-17"/>
    <x v="1"/>
    <n v="1358"/>
    <n v="242"/>
    <n v="342129"/>
    <n v="4.9400000000000004"/>
    <n v="29116"/>
    <n v="0.32619275185675578"/>
  </r>
  <r>
    <s v="2025-03-17"/>
    <x v="2"/>
    <n v="1077"/>
    <n v="216"/>
    <n v="12447"/>
    <n v="1.8"/>
    <n v="14068"/>
    <n v="6.9173294769824052"/>
  </r>
  <r>
    <s v="2025-03-17"/>
    <x v="3"/>
    <n v="1596"/>
    <n v="211"/>
    <n v="17380"/>
    <n v="8.64"/>
    <n v="35801"/>
    <n v="7.9689298043728432"/>
  </r>
  <r>
    <s v="2025-03-24"/>
    <x v="0"/>
    <n v="490"/>
    <n v="29"/>
    <n v="364810"/>
    <n v="1.53"/>
    <n v="49077"/>
    <n v="0.12636715002329982"/>
  </r>
  <r>
    <s v="2025-03-24"/>
    <x v="1"/>
    <n v="609"/>
    <n v="135"/>
    <n v="373606"/>
    <n v="8.52"/>
    <n v="21453"/>
    <n v="0.1268716241173857"/>
  </r>
  <r>
    <s v="2025-03-24"/>
    <x v="2"/>
    <n v="364"/>
    <n v="72"/>
    <n v="211090"/>
    <n v="5.53"/>
    <n v="21061"/>
    <n v="0.13832962243592781"/>
  </r>
  <r>
    <s v="2025-03-24"/>
    <x v="3"/>
    <n v="442"/>
    <n v="53"/>
    <n v="441931"/>
    <n v="1.87"/>
    <n v="20059"/>
    <n v="8.8022790888170319E-2"/>
  </r>
  <r>
    <s v="2025-03-31"/>
    <x v="0"/>
    <n v="1033"/>
    <n v="392"/>
    <n v="282780"/>
    <n v="6.27"/>
    <n v="23140"/>
    <n v="0.22667798288422092"/>
  </r>
  <r>
    <s v="2025-03-31"/>
    <x v="1"/>
    <n v="988"/>
    <n v="474"/>
    <n v="370070"/>
    <n v="9.4600000000000009"/>
    <n v="23461"/>
    <n v="0.13889264193260734"/>
  </r>
  <r>
    <s v="2025-03-31"/>
    <x v="2"/>
    <n v="1946"/>
    <n v="270"/>
    <n v="198350"/>
    <n v="7.5"/>
    <n v="11805"/>
    <n v="0.84497101083942527"/>
  </r>
  <r>
    <s v="2025-03-31"/>
    <x v="3"/>
    <n v="1957"/>
    <n v="490"/>
    <n v="435726"/>
    <n v="4.7300000000000004"/>
    <n v="15969"/>
    <n v="0.33667947287974553"/>
  </r>
  <r>
    <s v="2025-04-07"/>
    <x v="0"/>
    <n v="559"/>
    <n v="392"/>
    <n v="78789"/>
    <n v="3.19"/>
    <n v="2436"/>
    <n v="0.21195852212872357"/>
  </r>
  <r>
    <s v="2025-04-07"/>
    <x v="1"/>
    <n v="1307"/>
    <n v="278"/>
    <n v="98596"/>
    <n v="2.4900000000000002"/>
    <n v="47603"/>
    <n v="1.0436528865268369"/>
  </r>
  <r>
    <s v="2025-04-07"/>
    <x v="2"/>
    <n v="1432"/>
    <n v="425"/>
    <n v="29589"/>
    <n v="4.5"/>
    <n v="42964"/>
    <n v="3.4032917638311533"/>
  </r>
  <r>
    <s v="2025-04-07"/>
    <x v="3"/>
    <n v="623"/>
    <n v="414"/>
    <n v="290354"/>
    <n v="6.49"/>
    <n v="39923"/>
    <n v="7.1981098934404214E-2"/>
  </r>
  <r>
    <s v="2025-04-14"/>
    <x v="0"/>
    <n v="198"/>
    <n v="358"/>
    <n v="66682"/>
    <n v="6.73"/>
    <n v="2293"/>
    <n v="-0.2399448126930806"/>
  </r>
  <r>
    <s v="2025-04-14"/>
    <x v="1"/>
    <n v="198"/>
    <n v="373"/>
    <n v="70707"/>
    <n v="4.83"/>
    <n v="25920"/>
    <n v="-0.24750024750024749"/>
  </r>
  <r>
    <s v="2025-04-14"/>
    <x v="2"/>
    <n v="353"/>
    <n v="300"/>
    <n v="142507"/>
    <n v="5.3"/>
    <n v="11035"/>
    <n v="3.7191155522184875E-2"/>
  </r>
  <r>
    <s v="2025-04-14"/>
    <x v="3"/>
    <n v="520"/>
    <n v="375"/>
    <n v="369525"/>
    <n v="6.54"/>
    <n v="20733"/>
    <n v="3.9239564305527365E-2"/>
  </r>
  <r>
    <s v="2025-04-21"/>
    <x v="0"/>
    <n v="961"/>
    <n v="358"/>
    <n v="62942"/>
    <n v="6.8"/>
    <n v="18693"/>
    <n v="0.95802484827301337"/>
  </r>
  <r>
    <s v="2025-04-21"/>
    <x v="1"/>
    <n v="1375"/>
    <n v="330"/>
    <n v="377382"/>
    <n v="2.6"/>
    <n v="7875"/>
    <n v="0.27690774864725926"/>
  </r>
  <r>
    <s v="2025-04-21"/>
    <x v="2"/>
    <n v="1147"/>
    <n v="388"/>
    <n v="333851"/>
    <n v="2.44"/>
    <n v="8471"/>
    <n v="0.22734693021737243"/>
  </r>
  <r>
    <s v="2025-04-21"/>
    <x v="3"/>
    <n v="1707"/>
    <n v="74"/>
    <n v="270958"/>
    <n v="3.09"/>
    <n v="14090"/>
    <n v="0.60267642955734835"/>
  </r>
  <r>
    <s v="2025-04-28"/>
    <x v="0"/>
    <n v="1693"/>
    <n v="154"/>
    <n v="445944"/>
    <n v="5.69"/>
    <n v="14216"/>
    <n v="0.34511059684624079"/>
  </r>
  <r>
    <s v="2025-04-28"/>
    <x v="1"/>
    <n v="833"/>
    <n v="380"/>
    <n v="224830"/>
    <n v="3.86"/>
    <n v="3582"/>
    <n v="0.2014855668727483"/>
  </r>
  <r>
    <s v="2025-04-28"/>
    <x v="2"/>
    <n v="1222"/>
    <n v="274"/>
    <n v="487289"/>
    <n v="3.16"/>
    <n v="32500"/>
    <n v="0.19454574184929271"/>
  </r>
  <r>
    <s v="2025-04-28"/>
    <x v="3"/>
    <n v="777"/>
    <n v="140"/>
    <n v="11435"/>
    <n v="1.6"/>
    <n v="6832"/>
    <n v="5.5706165282028861"/>
  </r>
  <r>
    <s v="2025-05-05"/>
    <x v="0"/>
    <n v="1957"/>
    <n v="76"/>
    <n v="447902"/>
    <n v="6.09"/>
    <n v="33381"/>
    <n v="0.41995793722733987"/>
  </r>
  <r>
    <s v="2025-05-05"/>
    <x v="1"/>
    <n v="405"/>
    <n v="66"/>
    <n v="418696"/>
    <n v="5.59"/>
    <n v="48419"/>
    <n v="8.0965664826031306E-2"/>
  </r>
  <r>
    <s v="2025-05-05"/>
    <x v="2"/>
    <n v="1581"/>
    <n v="71"/>
    <n v="484364"/>
    <n v="3.55"/>
    <n v="16149"/>
    <n v="0.311749015203442"/>
  </r>
  <r>
    <s v="2025-05-05"/>
    <x v="3"/>
    <n v="1035"/>
    <n v="171"/>
    <n v="148477"/>
    <n v="5.21"/>
    <n v="7541"/>
    <n v="0.58190830903102841"/>
  </r>
  <r>
    <s v="2025-05-12"/>
    <x v="0"/>
    <n v="1765"/>
    <n v="109"/>
    <n v="468301"/>
    <n v="1.82"/>
    <n v="20042"/>
    <n v="0.35361871958419905"/>
  </r>
  <r>
    <s v="2025-05-12"/>
    <x v="1"/>
    <n v="837"/>
    <n v="430"/>
    <n v="364820"/>
    <n v="4"/>
    <n v="49400"/>
    <n v="0.11156186612576065"/>
  </r>
  <r>
    <s v="2025-05-12"/>
    <x v="2"/>
    <n v="337"/>
    <n v="68"/>
    <n v="456298"/>
    <n v="7.57"/>
    <n v="4007"/>
    <n v="5.8952701962314107E-2"/>
  </r>
  <r>
    <s v="2025-05-12"/>
    <x v="3"/>
    <n v="119"/>
    <n v="456"/>
    <n v="82558"/>
    <n v="6.81"/>
    <n v="12174"/>
    <n v="-0.408197873010489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8.06"/>
    <n v="5904"/>
    <n v="3.0428616268120576E-3"/>
    <n v="1047"/>
  </r>
  <r>
    <x v="0"/>
    <x v="1"/>
    <n v="1312"/>
    <n v="310"/>
    <n v="42654"/>
    <n v="4.9800000000000004"/>
    <n v="9566"/>
    <n v="2.3491348994232664E-2"/>
    <n v="1002"/>
  </r>
  <r>
    <x v="0"/>
    <x v="2"/>
    <n v="584"/>
    <n v="169"/>
    <n v="146834"/>
    <n v="8.31"/>
    <n v="26752"/>
    <n v="2.826320879360366E-3"/>
    <n v="415"/>
  </r>
  <r>
    <x v="0"/>
    <x v="3"/>
    <n v="1535"/>
    <n v="445"/>
    <n v="395536"/>
    <n v="4.1100000000000003"/>
    <n v="30671"/>
    <n v="2.7557542170624167E-3"/>
    <n v="1090"/>
  </r>
  <r>
    <x v="1"/>
    <x v="0"/>
    <n v="656"/>
    <n v="139"/>
    <n v="49157"/>
    <n v="9.0500000000000007"/>
    <n v="9920"/>
    <n v="1.0517322049758936E-2"/>
    <n v="517"/>
  </r>
  <r>
    <x v="1"/>
    <x v="1"/>
    <n v="1697"/>
    <n v="414"/>
    <n v="316555"/>
    <n v="2.37"/>
    <n v="7924"/>
    <n v="4.0530081660374974E-3"/>
    <n v="1283"/>
  </r>
  <r>
    <x v="1"/>
    <x v="2"/>
    <n v="436"/>
    <n v="250"/>
    <n v="254347"/>
    <n v="4.01"/>
    <n v="8912"/>
    <n v="7.3128442639386348E-4"/>
    <n v="186"/>
  </r>
  <r>
    <x v="1"/>
    <x v="3"/>
    <n v="1197"/>
    <n v="203"/>
    <n v="413878"/>
    <n v="3.16"/>
    <n v="21205"/>
    <n v="2.4016739232334168E-3"/>
    <n v="994"/>
  </r>
  <r>
    <x v="2"/>
    <x v="0"/>
    <n v="1048"/>
    <n v="155"/>
    <n v="456946"/>
    <n v="2.46"/>
    <n v="11329"/>
    <n v="1.9542790614208243E-3"/>
    <n v="893"/>
  </r>
  <r>
    <x v="2"/>
    <x v="1"/>
    <n v="1753"/>
    <n v="371"/>
    <n v="169496"/>
    <n v="8.11"/>
    <n v="46670"/>
    <n v="8.1535847453627231E-3"/>
    <n v="1382"/>
  </r>
  <r>
    <x v="2"/>
    <x v="2"/>
    <n v="1335"/>
    <n v="40"/>
    <n v="122732"/>
    <n v="8.19"/>
    <n v="22482"/>
    <n v="1.0551445425805821E-2"/>
    <n v="1295"/>
  </r>
  <r>
    <x v="2"/>
    <x v="3"/>
    <n v="403"/>
    <n v="66"/>
    <n v="382851"/>
    <n v="3.49"/>
    <n v="24313"/>
    <n v="8.80238003818718E-4"/>
    <n v="337"/>
  </r>
  <r>
    <x v="3"/>
    <x v="0"/>
    <n v="911"/>
    <n v="282"/>
    <n v="35664"/>
    <n v="6.92"/>
    <n v="18050"/>
    <n v="1.7636832660385824E-2"/>
    <n v="629"/>
  </r>
  <r>
    <x v="3"/>
    <x v="1"/>
    <n v="1779"/>
    <n v="109"/>
    <n v="26295"/>
    <n v="9.1199999999999992"/>
    <n v="30635"/>
    <n v="6.3510173036698994E-2"/>
    <n v="1670"/>
  </r>
  <r>
    <x v="3"/>
    <x v="2"/>
    <n v="1238"/>
    <n v="403"/>
    <n v="298421"/>
    <n v="3.5"/>
    <n v="31280"/>
    <n v="2.798060458211721E-3"/>
    <n v="835"/>
  </r>
  <r>
    <x v="3"/>
    <x v="3"/>
    <n v="308"/>
    <n v="431"/>
    <n v="426184"/>
    <n v="2.62"/>
    <n v="1783"/>
    <n v="-2.8860773750305035E-4"/>
    <n v="-123"/>
  </r>
  <r>
    <x v="4"/>
    <x v="0"/>
    <n v="226"/>
    <n v="445"/>
    <n v="419447"/>
    <n v="9.36"/>
    <n v="9566"/>
    <n v="-5.2211602419375983E-4"/>
    <n v="-219"/>
  </r>
  <r>
    <x v="4"/>
    <x v="1"/>
    <n v="505"/>
    <n v="441"/>
    <n v="220020"/>
    <n v="4.4800000000000004"/>
    <n v="42307"/>
    <n v="2.9088264703208797E-4"/>
    <n v="64"/>
  </r>
  <r>
    <x v="4"/>
    <x v="2"/>
    <n v="1420"/>
    <n v="63"/>
    <n v="315305"/>
    <n v="6.19"/>
    <n v="5914"/>
    <n v="4.3037693661692649E-3"/>
    <n v="1357"/>
  </r>
  <r>
    <x v="4"/>
    <x v="3"/>
    <n v="144"/>
    <n v="53"/>
    <n v="113678"/>
    <n v="8.7200000000000006"/>
    <n v="30060"/>
    <n v="8.0050669434719116E-4"/>
    <n v="91"/>
  </r>
  <r>
    <x v="5"/>
    <x v="0"/>
    <n v="1757"/>
    <n v="85"/>
    <n v="58223"/>
    <n v="8.74"/>
    <n v="22728"/>
    <n v="2.8717173625543171E-2"/>
    <n v="1672"/>
  </r>
  <r>
    <x v="5"/>
    <x v="1"/>
    <n v="350"/>
    <n v="41"/>
    <n v="251694"/>
    <n v="1.91"/>
    <n v="38610"/>
    <n v="1.2276812319721568E-3"/>
    <n v="309"/>
  </r>
  <r>
    <x v="5"/>
    <x v="2"/>
    <n v="987"/>
    <n v="440"/>
    <n v="389810"/>
    <n v="4.66"/>
    <n v="2932"/>
    <n v="1.40324773607655E-3"/>
    <n v="547"/>
  </r>
  <r>
    <x v="5"/>
    <x v="3"/>
    <n v="883"/>
    <n v="369"/>
    <n v="233694"/>
    <n v="2.88"/>
    <n v="15071"/>
    <n v="2.1994574101175039E-3"/>
    <n v="514"/>
  </r>
  <r>
    <x v="6"/>
    <x v="0"/>
    <n v="1960"/>
    <n v="115"/>
    <n v="154169"/>
    <n v="3.74"/>
    <n v="10740"/>
    <n v="1.1967386439556591E-2"/>
    <n v="1845"/>
  </r>
  <r>
    <x v="6"/>
    <x v="1"/>
    <n v="170"/>
    <n v="334"/>
    <n v="334626"/>
    <n v="6.44"/>
    <n v="43420"/>
    <n v="-4.9009939454794306E-4"/>
    <n v="-164"/>
  </r>
  <r>
    <x v="6"/>
    <x v="2"/>
    <n v="704"/>
    <n v="275"/>
    <n v="226002"/>
    <n v="8.56"/>
    <n v="32393"/>
    <n v="1.8982132901478749E-3"/>
    <n v="429"/>
  </r>
  <r>
    <x v="6"/>
    <x v="3"/>
    <n v="224"/>
    <n v="64"/>
    <n v="156683"/>
    <n v="4.5599999999999996"/>
    <n v="28474"/>
    <n v="1.0211701333265254E-3"/>
    <n v="160"/>
  </r>
  <r>
    <x v="7"/>
    <x v="0"/>
    <n v="508"/>
    <n v="349"/>
    <n v="473812"/>
    <n v="7.88"/>
    <n v="17328"/>
    <n v="3.3557613568250698E-4"/>
    <n v="159"/>
  </r>
  <r>
    <x v="7"/>
    <x v="1"/>
    <n v="1391"/>
    <n v="430"/>
    <n v="295032"/>
    <n v="7.86"/>
    <n v="26067"/>
    <n v="3.2572737872501967E-3"/>
    <n v="961"/>
  </r>
  <r>
    <x v="7"/>
    <x v="2"/>
    <n v="1701"/>
    <n v="385"/>
    <n v="198278"/>
    <n v="5.34"/>
    <n v="32763"/>
    <n v="6.6371458255580548E-3"/>
    <n v="1316"/>
  </r>
  <r>
    <x v="7"/>
    <x v="3"/>
    <n v="804"/>
    <n v="487"/>
    <n v="306564"/>
    <n v="5.52"/>
    <n v="26452"/>
    <n v="1.0340418313957282E-3"/>
    <n v="317"/>
  </r>
  <r>
    <x v="8"/>
    <x v="0"/>
    <n v="653"/>
    <n v="112"/>
    <n v="23664"/>
    <n v="4.05"/>
    <n v="15353"/>
    <n v="2.2861730899256253E-2"/>
    <n v="541"/>
  </r>
  <r>
    <x v="8"/>
    <x v="1"/>
    <n v="160"/>
    <n v="478"/>
    <n v="435034"/>
    <n v="7.73"/>
    <n v="4839"/>
    <n v="-7.3097734889686784E-4"/>
    <n v="-318"/>
  </r>
  <r>
    <x v="8"/>
    <x v="2"/>
    <n v="1756"/>
    <n v="261"/>
    <n v="287574"/>
    <n v="4.3600000000000003"/>
    <n v="39272"/>
    <n v="5.1986619096302169E-3"/>
    <n v="1495"/>
  </r>
  <r>
    <x v="8"/>
    <x v="3"/>
    <n v="576"/>
    <n v="101"/>
    <n v="62499"/>
    <n v="3.48"/>
    <n v="16804"/>
    <n v="7.600121601945631E-3"/>
    <n v="475"/>
  </r>
  <r>
    <x v="9"/>
    <x v="0"/>
    <n v="645"/>
    <n v="293"/>
    <n v="437968"/>
    <n v="7.83"/>
    <n v="49303"/>
    <n v="8.0371168669857163E-4"/>
    <n v="352"/>
  </r>
  <r>
    <x v="9"/>
    <x v="1"/>
    <n v="214"/>
    <n v="411"/>
    <n v="125034"/>
    <n v="6.11"/>
    <n v="26455"/>
    <n v="-1.5755714445670778E-3"/>
    <n v="-197"/>
  </r>
  <r>
    <x v="9"/>
    <x v="2"/>
    <n v="826"/>
    <n v="498"/>
    <n v="449994"/>
    <n v="9.43"/>
    <n v="12384"/>
    <n v="7.2889860753698943E-4"/>
    <n v="328"/>
  </r>
  <r>
    <x v="9"/>
    <x v="3"/>
    <n v="460"/>
    <n v="141"/>
    <n v="320650"/>
    <n v="4.04"/>
    <n v="49372"/>
    <n v="9.9485420240137223E-4"/>
    <n v="319"/>
  </r>
  <r>
    <x v="10"/>
    <x v="0"/>
    <n v="1528"/>
    <n v="203"/>
    <n v="489188"/>
    <n v="6.23"/>
    <n v="47101"/>
    <n v="2.7085701202809553E-3"/>
    <n v="1325"/>
  </r>
  <r>
    <x v="10"/>
    <x v="1"/>
    <n v="1534"/>
    <n v="200"/>
    <n v="307612"/>
    <n v="6.01"/>
    <n v="37903"/>
    <n v="4.3366318609156986E-3"/>
    <n v="1334"/>
  </r>
  <r>
    <x v="10"/>
    <x v="2"/>
    <n v="485"/>
    <n v="448"/>
    <n v="434883"/>
    <n v="8.5500000000000007"/>
    <n v="33258"/>
    <n v="8.5080354946042954E-5"/>
    <n v="37"/>
  </r>
  <r>
    <x v="10"/>
    <x v="3"/>
    <n v="1210"/>
    <n v="178"/>
    <n v="102042"/>
    <n v="5.42"/>
    <n v="6915"/>
    <n v="1.011348268360087E-2"/>
    <n v="1032"/>
  </r>
  <r>
    <x v="11"/>
    <x v="0"/>
    <n v="215"/>
    <n v="139"/>
    <n v="325444"/>
    <n v="3.25"/>
    <n v="35501"/>
    <n v="2.335271198731579E-4"/>
    <n v="76"/>
  </r>
  <r>
    <x v="11"/>
    <x v="1"/>
    <n v="1078"/>
    <n v="20"/>
    <n v="183924"/>
    <n v="8.84"/>
    <n v="14203"/>
    <n v="5.7523759813836147E-3"/>
    <n v="1058"/>
  </r>
  <r>
    <x v="11"/>
    <x v="2"/>
    <n v="1751"/>
    <n v="86"/>
    <n v="188655"/>
    <n v="7.24"/>
    <n v="22206"/>
    <n v="8.825634093981077E-3"/>
    <n v="1665"/>
  </r>
  <r>
    <x v="11"/>
    <x v="3"/>
    <n v="221"/>
    <n v="31"/>
    <n v="87443"/>
    <n v="6.19"/>
    <n v="10283"/>
    <n v="2.1728440241071327E-3"/>
    <n v="190"/>
  </r>
  <r>
    <x v="12"/>
    <x v="0"/>
    <n v="1685"/>
    <n v="76"/>
    <n v="453799"/>
    <n v="5.71"/>
    <n v="24913"/>
    <n v="3.5456226214689766E-3"/>
    <n v="1609"/>
  </r>
  <r>
    <x v="12"/>
    <x v="1"/>
    <n v="248"/>
    <n v="211"/>
    <n v="379380"/>
    <n v="9.0399999999999991"/>
    <n v="26925"/>
    <n v="9.7527544941747058E-5"/>
    <n v="37"/>
  </r>
  <r>
    <x v="12"/>
    <x v="2"/>
    <n v="1300"/>
    <n v="71"/>
    <n v="186454"/>
    <n v="3.91"/>
    <n v="9942"/>
    <n v="6.5914381026955706E-3"/>
    <n v="1229"/>
  </r>
  <r>
    <x v="12"/>
    <x v="3"/>
    <n v="422"/>
    <n v="394"/>
    <n v="239044"/>
    <n v="7.83"/>
    <n v="32929"/>
    <n v="1.1713324743561855E-4"/>
    <n v="28"/>
  </r>
  <r>
    <x v="13"/>
    <x v="0"/>
    <n v="1429"/>
    <n v="182"/>
    <n v="101332"/>
    <n v="7.16"/>
    <n v="37829"/>
    <n v="1.2306082974775983E-2"/>
    <n v="1247"/>
  </r>
  <r>
    <x v="13"/>
    <x v="1"/>
    <n v="1520"/>
    <n v="475"/>
    <n v="496982"/>
    <n v="6.41"/>
    <n v="24384"/>
    <n v="2.1026918479944948E-3"/>
    <n v="1045"/>
  </r>
  <r>
    <x v="13"/>
    <x v="2"/>
    <n v="557"/>
    <n v="360"/>
    <n v="318779"/>
    <n v="8.02"/>
    <n v="25797"/>
    <n v="6.1798299135137512E-4"/>
    <n v="197"/>
  </r>
  <r>
    <x v="13"/>
    <x v="3"/>
    <n v="728"/>
    <n v="395"/>
    <n v="370971"/>
    <n v="3.86"/>
    <n v="12646"/>
    <n v="8.9764429025449434E-4"/>
    <n v="333"/>
  </r>
  <r>
    <x v="14"/>
    <x v="0"/>
    <n v="1592"/>
    <n v="20"/>
    <n v="378054"/>
    <n v="9.09"/>
    <n v="26663"/>
    <n v="4.1581361392816901E-3"/>
    <n v="1572"/>
  </r>
  <r>
    <x v="14"/>
    <x v="1"/>
    <n v="1842"/>
    <n v="414"/>
    <n v="307524"/>
    <n v="1.76"/>
    <n v="40478"/>
    <n v="4.6435400163889647E-3"/>
    <n v="1428"/>
  </r>
  <r>
    <x v="14"/>
    <x v="2"/>
    <n v="751"/>
    <n v="491"/>
    <n v="434047"/>
    <n v="9.24"/>
    <n v="15476"/>
    <n v="5.990134708914012E-4"/>
    <n v="260"/>
  </r>
  <r>
    <x v="14"/>
    <x v="3"/>
    <n v="1409"/>
    <n v="309"/>
    <n v="64583"/>
    <n v="8.99"/>
    <n v="10217"/>
    <n v="1.7032345973398571E-2"/>
    <n v="1100"/>
  </r>
  <r>
    <x v="15"/>
    <x v="0"/>
    <n v="778"/>
    <n v="401"/>
    <n v="50793"/>
    <n v="3.4"/>
    <n v="21939"/>
    <n v="7.4222825979957871E-3"/>
    <n v="377"/>
  </r>
  <r>
    <x v="15"/>
    <x v="1"/>
    <n v="443"/>
    <n v="345"/>
    <n v="474162"/>
    <n v="9.1999999999999993"/>
    <n v="47462"/>
    <n v="2.0668041724136477E-4"/>
    <n v="98"/>
  </r>
  <r>
    <x v="15"/>
    <x v="2"/>
    <n v="1472"/>
    <n v="347"/>
    <n v="392355"/>
    <n v="8.59"/>
    <n v="30270"/>
    <n v="2.8673012960201858E-3"/>
    <n v="1125"/>
  </r>
  <r>
    <x v="15"/>
    <x v="3"/>
    <n v="123"/>
    <n v="155"/>
    <n v="119934"/>
    <n v="3.5"/>
    <n v="5442"/>
    <n v="-2.6681341404439108E-4"/>
    <n v="-32"/>
  </r>
  <r>
    <x v="16"/>
    <x v="0"/>
    <n v="817"/>
    <n v="151"/>
    <n v="422625"/>
    <n v="2.36"/>
    <n v="1083"/>
    <n v="1.5758651286601596E-3"/>
    <n v="666"/>
  </r>
  <r>
    <x v="16"/>
    <x v="1"/>
    <n v="198"/>
    <n v="217"/>
    <n v="239753"/>
    <n v="7.36"/>
    <n v="11901"/>
    <n v="-7.9248226299566635E-5"/>
    <n v="-19"/>
  </r>
  <r>
    <x v="16"/>
    <x v="2"/>
    <n v="1911"/>
    <n v="231"/>
    <n v="268516"/>
    <n v="8.5500000000000007"/>
    <n v="24018"/>
    <n v="6.2566104068286429E-3"/>
    <n v="1680"/>
  </r>
  <r>
    <x v="16"/>
    <x v="3"/>
    <n v="1218"/>
    <n v="212"/>
    <n v="63177"/>
    <n v="8.1300000000000008"/>
    <n v="38883"/>
    <n v="1.592351646960128E-2"/>
    <n v="1006"/>
  </r>
  <r>
    <x v="17"/>
    <x v="0"/>
    <n v="1433"/>
    <n v="408"/>
    <n v="370269"/>
    <n v="3.3"/>
    <n v="30575"/>
    <n v="2.7682576721248606E-3"/>
    <n v="1025"/>
  </r>
  <r>
    <x v="17"/>
    <x v="1"/>
    <n v="250"/>
    <n v="429"/>
    <n v="453423"/>
    <n v="1.77"/>
    <n v="2315"/>
    <n v="-3.9477485703195471E-4"/>
    <n v="-179"/>
  </r>
  <r>
    <x v="17"/>
    <x v="2"/>
    <n v="752"/>
    <n v="153"/>
    <n v="64906"/>
    <n v="2.09"/>
    <n v="12148"/>
    <n v="9.2287307798970819E-3"/>
    <n v="599"/>
  </r>
  <r>
    <x v="17"/>
    <x v="3"/>
    <n v="1918"/>
    <n v="212"/>
    <n v="94360"/>
    <n v="7.36"/>
    <n v="36851"/>
    <n v="1.8079694785926241E-2"/>
    <n v="1706"/>
  </r>
  <r>
    <x v="18"/>
    <x v="0"/>
    <n v="1939"/>
    <n v="67"/>
    <n v="187183"/>
    <n v="6.25"/>
    <n v="41215"/>
    <n v="1.0000908202133741E-2"/>
    <n v="1872"/>
  </r>
  <r>
    <x v="18"/>
    <x v="1"/>
    <n v="1929"/>
    <n v="267"/>
    <n v="379363"/>
    <n v="1.75"/>
    <n v="43836"/>
    <n v="4.3810281972675247E-3"/>
    <n v="1662"/>
  </r>
  <r>
    <x v="18"/>
    <x v="2"/>
    <n v="437"/>
    <n v="330"/>
    <n v="476486"/>
    <n v="4.97"/>
    <n v="4509"/>
    <n v="2.2456063766826309E-4"/>
    <n v="107"/>
  </r>
  <r>
    <x v="18"/>
    <x v="3"/>
    <n v="307"/>
    <n v="189"/>
    <n v="117767"/>
    <n v="9.3000000000000007"/>
    <n v="27822"/>
    <n v="1.0019784829366461E-3"/>
    <n v="118"/>
  </r>
  <r>
    <x v="19"/>
    <x v="0"/>
    <n v="1527"/>
    <n v="303"/>
    <n v="388555"/>
    <n v="8.9"/>
    <n v="36397"/>
    <n v="3.1501331857780751E-3"/>
    <n v="1224"/>
  </r>
  <r>
    <x v="19"/>
    <x v="1"/>
    <n v="643"/>
    <n v="358"/>
    <n v="157599"/>
    <n v="3.88"/>
    <n v="7285"/>
    <n v="1.8083871090552605E-3"/>
    <n v="285"/>
  </r>
  <r>
    <x v="19"/>
    <x v="2"/>
    <n v="201"/>
    <n v="221"/>
    <n v="309772"/>
    <n v="5.9"/>
    <n v="33174"/>
    <n v="-6.456361452939582E-5"/>
    <n v="-20"/>
  </r>
  <r>
    <x v="19"/>
    <x v="3"/>
    <n v="414"/>
    <n v="47"/>
    <n v="199178"/>
    <n v="1.53"/>
    <n v="6742"/>
    <n v="1.8425729749269497E-3"/>
    <n v="367"/>
  </r>
  <r>
    <x v="20"/>
    <x v="0"/>
    <n v="703"/>
    <n v="441"/>
    <n v="357089"/>
    <n v="6.5"/>
    <n v="32478"/>
    <n v="7.3371064356504961E-4"/>
    <n v="262"/>
  </r>
  <r>
    <x v="20"/>
    <x v="1"/>
    <n v="508"/>
    <n v="69"/>
    <n v="23492"/>
    <n v="3.16"/>
    <n v="42824"/>
    <n v="1.8687212668142345E-2"/>
    <n v="439"/>
  </r>
  <r>
    <x v="20"/>
    <x v="2"/>
    <n v="697"/>
    <n v="61"/>
    <n v="258287"/>
    <n v="8.25"/>
    <n v="21208"/>
    <n v="2.4623771231227277E-3"/>
    <n v="636"/>
  </r>
  <r>
    <x v="20"/>
    <x v="3"/>
    <n v="1707"/>
    <n v="223"/>
    <n v="256910"/>
    <n v="5.41"/>
    <n v="44321"/>
    <n v="5.7763419096181542E-3"/>
    <n v="1484"/>
  </r>
  <r>
    <x v="21"/>
    <x v="0"/>
    <n v="642"/>
    <n v="66"/>
    <n v="346522"/>
    <n v="5.85"/>
    <n v="13116"/>
    <n v="1.6622321237901201E-3"/>
    <n v="576"/>
  </r>
  <r>
    <x v="21"/>
    <x v="1"/>
    <n v="859"/>
    <n v="473"/>
    <n v="209987"/>
    <n v="4.46"/>
    <n v="30214"/>
    <n v="1.8382090319876945E-3"/>
    <n v="386"/>
  </r>
  <r>
    <x v="21"/>
    <x v="2"/>
    <n v="191"/>
    <n v="154"/>
    <n v="240550"/>
    <n v="5.22"/>
    <n v="15827"/>
    <n v="1.5381417584701726E-4"/>
    <n v="37"/>
  </r>
  <r>
    <x v="21"/>
    <x v="3"/>
    <n v="1814"/>
    <n v="157"/>
    <n v="305827"/>
    <n v="1.99"/>
    <n v="46643"/>
    <n v="5.4180958515762179E-3"/>
    <n v="1657"/>
  </r>
  <r>
    <x v="22"/>
    <x v="0"/>
    <n v="1466"/>
    <n v="69"/>
    <n v="54935"/>
    <n v="6.85"/>
    <n v="36484"/>
    <n v="2.5430053699827069E-2"/>
    <n v="1397"/>
  </r>
  <r>
    <x v="22"/>
    <x v="1"/>
    <n v="947"/>
    <n v="407"/>
    <n v="319186"/>
    <n v="3.32"/>
    <n v="4996"/>
    <n v="1.6918035252172713E-3"/>
    <n v="540"/>
  </r>
  <r>
    <x v="22"/>
    <x v="2"/>
    <n v="1821"/>
    <n v="218"/>
    <n v="439080"/>
    <n v="5.68"/>
    <n v="36095"/>
    <n v="3.6508153411678964E-3"/>
    <n v="1603"/>
  </r>
  <r>
    <x v="22"/>
    <x v="3"/>
    <n v="1507"/>
    <n v="463"/>
    <n v="258944"/>
    <n v="6.08"/>
    <n v="16443"/>
    <n v="4.0317597627286209E-3"/>
    <n v="1044"/>
  </r>
  <r>
    <x v="23"/>
    <x v="0"/>
    <n v="1075"/>
    <n v="173"/>
    <n v="51395"/>
    <n v="4.66"/>
    <n v="47812"/>
    <n v="1.7550345364335054E-2"/>
    <n v="902"/>
  </r>
  <r>
    <x v="23"/>
    <x v="1"/>
    <n v="171"/>
    <n v="277"/>
    <n v="309483"/>
    <n v="8.6999999999999993"/>
    <n v="38452"/>
    <n v="-3.4250669665215861E-4"/>
    <n v="-106"/>
  </r>
  <r>
    <x v="23"/>
    <x v="2"/>
    <n v="1487"/>
    <n v="337"/>
    <n v="87305"/>
    <n v="2.46"/>
    <n v="30428"/>
    <n v="1.3172212358971423E-2"/>
    <n v="1150"/>
  </r>
  <r>
    <x v="23"/>
    <x v="3"/>
    <n v="454"/>
    <n v="105"/>
    <n v="121091"/>
    <n v="7.97"/>
    <n v="9269"/>
    <n v="2.8821299683708945E-3"/>
    <n v="349"/>
  </r>
  <r>
    <x v="24"/>
    <x v="0"/>
    <n v="187"/>
    <n v="236"/>
    <n v="51087"/>
    <n v="9.41"/>
    <n v="29533"/>
    <n v="-9.5914811987394058E-4"/>
    <n v="-49"/>
  </r>
  <r>
    <x v="24"/>
    <x v="1"/>
    <n v="513"/>
    <n v="441"/>
    <n v="338847"/>
    <n v="2.68"/>
    <n v="39997"/>
    <n v="2.1248528096751631E-4"/>
    <n v="72"/>
  </r>
  <r>
    <x v="24"/>
    <x v="2"/>
    <n v="628"/>
    <n v="183"/>
    <n v="487523"/>
    <n v="7.32"/>
    <n v="5391"/>
    <n v="9.1277744844858602E-4"/>
    <n v="445"/>
  </r>
  <r>
    <x v="24"/>
    <x v="3"/>
    <n v="278"/>
    <n v="218"/>
    <n v="301695"/>
    <n v="4.68"/>
    <n v="22373"/>
    <n v="1.9887634863023914E-4"/>
    <n v="60"/>
  </r>
  <r>
    <x v="25"/>
    <x v="0"/>
    <n v="1854"/>
    <n v="161"/>
    <n v="282466"/>
    <n v="5.17"/>
    <n v="1810"/>
    <n v="5.9936417126309005E-3"/>
    <n v="1693"/>
  </r>
  <r>
    <x v="25"/>
    <x v="1"/>
    <n v="1710"/>
    <n v="378"/>
    <n v="336661"/>
    <n v="6.2"/>
    <n v="28498"/>
    <n v="3.9565022381564839E-3"/>
    <n v="1332"/>
  </r>
  <r>
    <x v="25"/>
    <x v="2"/>
    <n v="330"/>
    <n v="232"/>
    <n v="88455"/>
    <n v="2.69"/>
    <n v="39530"/>
    <n v="1.1079079758069075E-3"/>
    <n v="98"/>
  </r>
  <r>
    <x v="25"/>
    <x v="3"/>
    <n v="1293"/>
    <n v="408"/>
    <n v="62535"/>
    <n v="8.9"/>
    <n v="37876"/>
    <n v="1.4152074838090669E-2"/>
    <n v="885"/>
  </r>
  <r>
    <x v="26"/>
    <x v="0"/>
    <n v="1696"/>
    <n v="71"/>
    <n v="421957"/>
    <n v="3.79"/>
    <n v="36103"/>
    <n v="3.8511033114748661E-3"/>
    <n v="1625"/>
  </r>
  <r>
    <x v="26"/>
    <x v="1"/>
    <n v="1902"/>
    <n v="196"/>
    <n v="470269"/>
    <n v="4.79"/>
    <n v="26103"/>
    <n v="3.6277109484146308E-3"/>
    <n v="1706"/>
  </r>
  <r>
    <x v="26"/>
    <x v="2"/>
    <n v="1441"/>
    <n v="268"/>
    <n v="309904"/>
    <n v="6.37"/>
    <n v="3455"/>
    <n v="3.7850431101244257E-3"/>
    <n v="1173"/>
  </r>
  <r>
    <x v="26"/>
    <x v="3"/>
    <n v="452"/>
    <n v="161"/>
    <n v="221274"/>
    <n v="2.65"/>
    <n v="40888"/>
    <n v="1.3151115811166245E-3"/>
    <n v="291"/>
  </r>
  <r>
    <x v="27"/>
    <x v="0"/>
    <n v="1494"/>
    <n v="375"/>
    <n v="220616"/>
    <n v="1.81"/>
    <n v="22724"/>
    <n v="5.0721615839286359E-3"/>
    <n v="1119"/>
  </r>
  <r>
    <x v="27"/>
    <x v="1"/>
    <n v="1514"/>
    <n v="141"/>
    <n v="35842"/>
    <n v="7.47"/>
    <n v="18601"/>
    <n v="3.8307014117515761E-2"/>
    <n v="1373"/>
  </r>
  <r>
    <x v="27"/>
    <x v="2"/>
    <n v="1937"/>
    <n v="210"/>
    <n v="20607"/>
    <n v="4.2"/>
    <n v="20861"/>
    <n v="8.3806473528412681E-2"/>
    <n v="1727"/>
  </r>
  <r>
    <x v="27"/>
    <x v="3"/>
    <n v="736"/>
    <n v="163"/>
    <n v="451894"/>
    <n v="5.43"/>
    <n v="46625"/>
    <n v="1.2679964770499277E-3"/>
    <n v="573"/>
  </r>
  <r>
    <x v="28"/>
    <x v="0"/>
    <n v="1502"/>
    <n v="70"/>
    <n v="465553"/>
    <n v="3.32"/>
    <n v="20692"/>
    <n v="3.0759118725472716E-3"/>
    <n v="1432"/>
  </r>
  <r>
    <x v="28"/>
    <x v="1"/>
    <n v="1623"/>
    <n v="246"/>
    <n v="415815"/>
    <n v="8.11"/>
    <n v="18656"/>
    <n v="3.311568846722701E-3"/>
    <n v="1377"/>
  </r>
  <r>
    <x v="28"/>
    <x v="2"/>
    <n v="1592"/>
    <n v="233"/>
    <n v="327183"/>
    <n v="6.66"/>
    <n v="13316"/>
    <n v="4.1536387893013997E-3"/>
    <n v="1359"/>
  </r>
  <r>
    <x v="28"/>
    <x v="3"/>
    <n v="1004"/>
    <n v="128"/>
    <n v="488901"/>
    <n v="8.09"/>
    <n v="49558"/>
    <n v="1.7917737946946315E-3"/>
    <n v="876"/>
  </r>
  <r>
    <x v="29"/>
    <x v="0"/>
    <n v="1092"/>
    <n v="408"/>
    <n v="280795"/>
    <n v="8.44"/>
    <n v="4683"/>
    <n v="2.4359408109118751E-3"/>
    <n v="684"/>
  </r>
  <r>
    <x v="29"/>
    <x v="1"/>
    <n v="1155"/>
    <n v="425"/>
    <n v="93347"/>
    <n v="2.02"/>
    <n v="47502"/>
    <n v="7.8202834584935772E-3"/>
    <n v="730"/>
  </r>
  <r>
    <x v="29"/>
    <x v="2"/>
    <n v="1137"/>
    <n v="226"/>
    <n v="81119"/>
    <n v="7.74"/>
    <n v="35359"/>
    <n v="1.1230414576116569E-2"/>
    <n v="911"/>
  </r>
  <r>
    <x v="29"/>
    <x v="3"/>
    <n v="1900"/>
    <n v="311"/>
    <n v="25177"/>
    <n v="2.89"/>
    <n v="14154"/>
    <n v="6.3113158835445049E-2"/>
    <n v="1589"/>
  </r>
  <r>
    <x v="30"/>
    <x v="0"/>
    <n v="1814"/>
    <n v="49"/>
    <n v="140804"/>
    <n v="1.76"/>
    <n v="4313"/>
    <n v="1.253515525127127E-2"/>
    <n v="1765"/>
  </r>
  <r>
    <x v="30"/>
    <x v="1"/>
    <n v="1980"/>
    <n v="204"/>
    <n v="379431"/>
    <n v="3.09"/>
    <n v="25140"/>
    <n v="4.6806929323118035E-3"/>
    <n v="1776"/>
  </r>
  <r>
    <x v="30"/>
    <x v="2"/>
    <n v="1786"/>
    <n v="257"/>
    <n v="274831"/>
    <n v="4.68"/>
    <n v="9118"/>
    <n v="5.5634189738421064E-3"/>
    <n v="1529"/>
  </r>
  <r>
    <x v="30"/>
    <x v="3"/>
    <n v="1495"/>
    <n v="35"/>
    <n v="136845"/>
    <n v="4.4800000000000004"/>
    <n v="39931"/>
    <n v="1.0669005078738719E-2"/>
    <n v="1460"/>
  </r>
  <r>
    <x v="31"/>
    <x v="0"/>
    <n v="1013"/>
    <n v="110"/>
    <n v="466382"/>
    <n v="5.3"/>
    <n v="37132"/>
    <n v="1.9361810704529763E-3"/>
    <n v="903"/>
  </r>
  <r>
    <x v="31"/>
    <x v="1"/>
    <n v="816"/>
    <n v="196"/>
    <n v="95728"/>
    <n v="8.1999999999999993"/>
    <n v="17951"/>
    <n v="6.4766839378238338E-3"/>
    <n v="620"/>
  </r>
  <r>
    <x v="31"/>
    <x v="2"/>
    <n v="1633"/>
    <n v="445"/>
    <n v="371156"/>
    <n v="2.2200000000000002"/>
    <n v="2798"/>
    <n v="3.2008104408927781E-3"/>
    <n v="1188"/>
  </r>
  <r>
    <x v="31"/>
    <x v="3"/>
    <n v="891"/>
    <n v="45"/>
    <n v="95410"/>
    <n v="8.33"/>
    <n v="15045"/>
    <n v="8.8669950738916262E-3"/>
    <n v="846"/>
  </r>
  <r>
    <x v="32"/>
    <x v="0"/>
    <n v="1855"/>
    <n v="133"/>
    <n v="349413"/>
    <n v="3.3"/>
    <n v="14548"/>
    <n v="4.9282654051223049E-3"/>
    <n v="1722"/>
  </r>
  <r>
    <x v="32"/>
    <x v="1"/>
    <n v="651"/>
    <n v="353"/>
    <n v="224699"/>
    <n v="5.61"/>
    <n v="45708"/>
    <n v="1.3262186302564765E-3"/>
    <n v="298"/>
  </r>
  <r>
    <x v="32"/>
    <x v="2"/>
    <n v="118"/>
    <n v="262"/>
    <n v="487896"/>
    <n v="2.56"/>
    <n v="12350"/>
    <n v="-2.9514486693885583E-4"/>
    <n v="-144"/>
  </r>
  <r>
    <x v="32"/>
    <x v="3"/>
    <n v="1331"/>
    <n v="430"/>
    <n v="14437"/>
    <n v="3.29"/>
    <n v="40868"/>
    <n v="6.2409087760615087E-2"/>
    <n v="901"/>
  </r>
  <r>
    <x v="33"/>
    <x v="0"/>
    <n v="1748"/>
    <n v="176"/>
    <n v="383681"/>
    <n v="9.24"/>
    <n v="43122"/>
    <n v="4.0971536250166149E-3"/>
    <n v="1572"/>
  </r>
  <r>
    <x v="33"/>
    <x v="1"/>
    <n v="663"/>
    <n v="236"/>
    <n v="479490"/>
    <n v="4.51"/>
    <n v="23853"/>
    <n v="8.9052952094934197E-4"/>
    <n v="427"/>
  </r>
  <r>
    <x v="33"/>
    <x v="2"/>
    <n v="1040"/>
    <n v="149"/>
    <n v="124404"/>
    <n v="5.23"/>
    <n v="45380"/>
    <n v="7.1621491270377159E-3"/>
    <n v="891"/>
  </r>
  <r>
    <x v="33"/>
    <x v="3"/>
    <n v="1166"/>
    <n v="442"/>
    <n v="336949"/>
    <n v="4.68"/>
    <n v="7705"/>
    <n v="2.1486931256659019E-3"/>
    <n v="724"/>
  </r>
  <r>
    <x v="34"/>
    <x v="0"/>
    <n v="115"/>
    <n v="281"/>
    <n v="357265"/>
    <n v="9.23"/>
    <n v="25525"/>
    <n v="-4.6464109274628077E-4"/>
    <n v="-166"/>
  </r>
  <r>
    <x v="34"/>
    <x v="1"/>
    <n v="1249"/>
    <n v="351"/>
    <n v="321307"/>
    <n v="6.37"/>
    <n v="20560"/>
    <n v="2.7948348464241365E-3"/>
    <n v="898"/>
  </r>
  <r>
    <x v="34"/>
    <x v="2"/>
    <n v="1501"/>
    <n v="75"/>
    <n v="262569"/>
    <n v="2.0099999999999998"/>
    <n v="19119"/>
    <n v="5.4309533874905263E-3"/>
    <n v="1426"/>
  </r>
  <r>
    <x v="34"/>
    <x v="3"/>
    <n v="1411"/>
    <n v="186"/>
    <n v="461669"/>
    <n v="3.72"/>
    <n v="43999"/>
    <n v="2.6534161921203288E-3"/>
    <n v="1225"/>
  </r>
  <r>
    <x v="35"/>
    <x v="0"/>
    <n v="1556"/>
    <n v="476"/>
    <n v="351556"/>
    <n v="3.89"/>
    <n v="10825"/>
    <n v="3.0720567989168156E-3"/>
    <n v="1080"/>
  </r>
  <r>
    <x v="35"/>
    <x v="1"/>
    <n v="1159"/>
    <n v="411"/>
    <n v="135987"/>
    <n v="8.6999999999999993"/>
    <n v="40323"/>
    <n v="5.5005257855530306E-3"/>
    <n v="748"/>
  </r>
  <r>
    <x v="35"/>
    <x v="2"/>
    <n v="927"/>
    <n v="358"/>
    <n v="177554"/>
    <n v="6.95"/>
    <n v="48270"/>
    <n v="3.2046588643454949E-3"/>
    <n v="569"/>
  </r>
  <r>
    <x v="35"/>
    <x v="3"/>
    <n v="152"/>
    <n v="355"/>
    <n v="270766"/>
    <n v="9.48"/>
    <n v="18001"/>
    <n v="-7.4972485467156139E-4"/>
    <n v="-203"/>
  </r>
  <r>
    <x v="36"/>
    <x v="0"/>
    <n v="1957"/>
    <n v="234"/>
    <n v="222126"/>
    <n v="4.6100000000000003"/>
    <n v="3314"/>
    <n v="7.7568587198256845E-3"/>
    <n v="1723"/>
  </r>
  <r>
    <x v="36"/>
    <x v="1"/>
    <n v="1294"/>
    <n v="382"/>
    <n v="309914"/>
    <n v="8.0299999999999994"/>
    <n v="23489"/>
    <n v="2.9427518601934728E-3"/>
    <n v="912"/>
  </r>
  <r>
    <x v="36"/>
    <x v="2"/>
    <n v="1587"/>
    <n v="385"/>
    <n v="126582"/>
    <n v="6.99"/>
    <n v="42832"/>
    <n v="9.4958208908059605E-3"/>
    <n v="1202"/>
  </r>
  <r>
    <x v="36"/>
    <x v="3"/>
    <n v="1707"/>
    <n v="263"/>
    <n v="485280"/>
    <n v="9.0299999999999994"/>
    <n v="24494"/>
    <n v="2.9756017144741179E-3"/>
    <n v="1444"/>
  </r>
  <r>
    <x v="37"/>
    <x v="0"/>
    <n v="1138"/>
    <n v="173"/>
    <n v="453243"/>
    <n v="2.86"/>
    <n v="44097"/>
    <n v="2.1291007252180398E-3"/>
    <n v="965"/>
  </r>
  <r>
    <x v="37"/>
    <x v="1"/>
    <n v="1895"/>
    <n v="305"/>
    <n v="104967"/>
    <n v="3.85"/>
    <n v="31853"/>
    <n v="1.5147617822744291E-2"/>
    <n v="1590"/>
  </r>
  <r>
    <x v="37"/>
    <x v="2"/>
    <n v="362"/>
    <n v="399"/>
    <n v="145608"/>
    <n v="7.3"/>
    <n v="37636"/>
    <n v="-2.5410691720235154E-4"/>
    <n v="-37"/>
  </r>
  <r>
    <x v="37"/>
    <x v="3"/>
    <n v="1662"/>
    <n v="487"/>
    <n v="105980"/>
    <n v="9.08"/>
    <n v="22996"/>
    <n v="1.1086997546706926E-2"/>
    <n v="1175"/>
  </r>
  <r>
    <x v="38"/>
    <x v="0"/>
    <n v="1440"/>
    <n v="65"/>
    <n v="126524"/>
    <n v="4.34"/>
    <n v="49772"/>
    <n v="1.0867503398564699E-2"/>
    <n v="1375"/>
  </r>
  <r>
    <x v="38"/>
    <x v="1"/>
    <n v="1884"/>
    <n v="177"/>
    <n v="230448"/>
    <n v="7.8"/>
    <n v="22713"/>
    <n v="7.4073109768798169E-3"/>
    <n v="1707"/>
  </r>
  <r>
    <x v="38"/>
    <x v="2"/>
    <n v="861"/>
    <n v="153"/>
    <n v="317007"/>
    <n v="3.85"/>
    <n v="8718"/>
    <n v="2.2333891680625349E-3"/>
    <n v="708"/>
  </r>
  <r>
    <x v="38"/>
    <x v="3"/>
    <n v="1063"/>
    <n v="47"/>
    <n v="464239"/>
    <n v="6.58"/>
    <n v="39031"/>
    <n v="2.1885278918832756E-3"/>
    <n v="1016"/>
  </r>
  <r>
    <x v="39"/>
    <x v="0"/>
    <n v="1371"/>
    <n v="56"/>
    <n v="257579"/>
    <n v="8.6199999999999992"/>
    <n v="33799"/>
    <n v="5.1052298518124532E-3"/>
    <n v="1315"/>
  </r>
  <r>
    <x v="39"/>
    <x v="1"/>
    <n v="345"/>
    <n v="464"/>
    <n v="366881"/>
    <n v="4.55"/>
    <n v="20553"/>
    <n v="-3.2435585380545735E-4"/>
    <n v="-119"/>
  </r>
  <r>
    <x v="39"/>
    <x v="2"/>
    <n v="946"/>
    <n v="47"/>
    <n v="466575"/>
    <n v="8.33"/>
    <n v="10002"/>
    <n v="1.9268070513850934E-3"/>
    <n v="899"/>
  </r>
  <r>
    <x v="39"/>
    <x v="3"/>
    <n v="510"/>
    <n v="195"/>
    <n v="224534"/>
    <n v="9.4"/>
    <n v="30987"/>
    <n v="1.4029055733207443E-3"/>
    <n v="315"/>
  </r>
  <r>
    <x v="40"/>
    <x v="0"/>
    <n v="393"/>
    <n v="181"/>
    <n v="462142"/>
    <n v="7.23"/>
    <n v="6296"/>
    <n v="4.5873346287504706E-4"/>
    <n v="212"/>
  </r>
  <r>
    <x v="40"/>
    <x v="1"/>
    <n v="1098"/>
    <n v="190"/>
    <n v="340842"/>
    <n v="9.39"/>
    <n v="21539"/>
    <n v="2.6639909400836752E-3"/>
    <n v="908"/>
  </r>
  <r>
    <x v="40"/>
    <x v="2"/>
    <n v="1399"/>
    <n v="49"/>
    <n v="12471"/>
    <n v="5.12"/>
    <n v="14722"/>
    <n v="0.10825114265095021"/>
    <n v="1350"/>
  </r>
  <r>
    <x v="40"/>
    <x v="3"/>
    <n v="1658"/>
    <n v="416"/>
    <n v="98397"/>
    <n v="6.11"/>
    <n v="11383"/>
    <n v="1.2622336046830695E-2"/>
    <n v="1242"/>
  </r>
  <r>
    <x v="41"/>
    <x v="0"/>
    <n v="1102"/>
    <n v="422"/>
    <n v="410330"/>
    <n v="7.74"/>
    <n v="9480"/>
    <n v="1.6572027392586454E-3"/>
    <n v="680"/>
  </r>
  <r>
    <x v="41"/>
    <x v="1"/>
    <n v="1358"/>
    <n v="242"/>
    <n v="342129"/>
    <n v="4.9400000000000004"/>
    <n v="29116"/>
    <n v="3.2619275185675578E-3"/>
    <n v="1116"/>
  </r>
  <r>
    <x v="41"/>
    <x v="2"/>
    <n v="1077"/>
    <n v="216"/>
    <n v="12447"/>
    <n v="1.8"/>
    <n v="14068"/>
    <n v="6.9173294769824048E-2"/>
    <n v="861"/>
  </r>
  <r>
    <x v="41"/>
    <x v="3"/>
    <n v="1596"/>
    <n v="211"/>
    <n v="17380"/>
    <n v="8.64"/>
    <n v="35801"/>
    <n v="7.9689298043728429E-2"/>
    <n v="1385"/>
  </r>
  <r>
    <x v="42"/>
    <x v="0"/>
    <n v="490"/>
    <n v="29"/>
    <n v="364810"/>
    <n v="1.53"/>
    <n v="49077"/>
    <n v="1.2636715002329981E-3"/>
    <n v="461"/>
  </r>
  <r>
    <x v="42"/>
    <x v="1"/>
    <n v="609"/>
    <n v="135"/>
    <n v="373606"/>
    <n v="8.52"/>
    <n v="21453"/>
    <n v="1.268716241173857E-3"/>
    <n v="474"/>
  </r>
  <r>
    <x v="42"/>
    <x v="2"/>
    <n v="364"/>
    <n v="72"/>
    <n v="211090"/>
    <n v="5.53"/>
    <n v="21061"/>
    <n v="1.3832962243592781E-3"/>
    <n v="292"/>
  </r>
  <r>
    <x v="42"/>
    <x v="3"/>
    <n v="442"/>
    <n v="53"/>
    <n v="441931"/>
    <n v="1.87"/>
    <n v="20059"/>
    <n v="8.8022790888170322E-4"/>
    <n v="389"/>
  </r>
  <r>
    <x v="43"/>
    <x v="0"/>
    <n v="1033"/>
    <n v="392"/>
    <n v="282780"/>
    <n v="6.27"/>
    <n v="23140"/>
    <n v="2.2667798288422093E-3"/>
    <n v="641"/>
  </r>
  <r>
    <x v="43"/>
    <x v="1"/>
    <n v="988"/>
    <n v="474"/>
    <n v="370070"/>
    <n v="9.4600000000000009"/>
    <n v="23461"/>
    <n v="1.3889264193260734E-3"/>
    <n v="514"/>
  </r>
  <r>
    <x v="43"/>
    <x v="2"/>
    <n v="1946"/>
    <n v="270"/>
    <n v="198350"/>
    <n v="7.5"/>
    <n v="11805"/>
    <n v="8.4497101083942528E-3"/>
    <n v="1676"/>
  </r>
  <r>
    <x v="43"/>
    <x v="3"/>
    <n v="1957"/>
    <n v="490"/>
    <n v="435726"/>
    <n v="4.7300000000000004"/>
    <n v="15969"/>
    <n v="3.3667947287974553E-3"/>
    <n v="1467"/>
  </r>
  <r>
    <x v="44"/>
    <x v="0"/>
    <n v="559"/>
    <n v="392"/>
    <n v="78789"/>
    <n v="3.19"/>
    <n v="2436"/>
    <n v="2.1195852212872357E-3"/>
    <n v="167"/>
  </r>
  <r>
    <x v="44"/>
    <x v="1"/>
    <n v="1307"/>
    <n v="278"/>
    <n v="98596"/>
    <n v="2.4900000000000002"/>
    <n v="47603"/>
    <n v="1.0436528865268368E-2"/>
    <n v="1029"/>
  </r>
  <r>
    <x v="44"/>
    <x v="2"/>
    <n v="1432"/>
    <n v="425"/>
    <n v="29589"/>
    <n v="4.5"/>
    <n v="42964"/>
    <n v="3.4032917638311531E-2"/>
    <n v="1007"/>
  </r>
  <r>
    <x v="44"/>
    <x v="3"/>
    <n v="623"/>
    <n v="414"/>
    <n v="290354"/>
    <n v="6.49"/>
    <n v="39923"/>
    <n v="7.1981098934404211E-4"/>
    <n v="209"/>
  </r>
  <r>
    <x v="45"/>
    <x v="0"/>
    <n v="198"/>
    <n v="358"/>
    <n v="66682"/>
    <n v="6.73"/>
    <n v="2293"/>
    <n v="-2.3994481269308059E-3"/>
    <n v="-160"/>
  </r>
  <r>
    <x v="45"/>
    <x v="1"/>
    <n v="198"/>
    <n v="373"/>
    <n v="70707"/>
    <n v="4.83"/>
    <n v="25920"/>
    <n v="-2.4750024750024749E-3"/>
    <n v="-175"/>
  </r>
  <r>
    <x v="45"/>
    <x v="2"/>
    <n v="353"/>
    <n v="300"/>
    <n v="142507"/>
    <n v="5.3"/>
    <n v="11035"/>
    <n v="3.7191155522184875E-4"/>
    <n v="53"/>
  </r>
  <r>
    <x v="45"/>
    <x v="3"/>
    <n v="520"/>
    <n v="375"/>
    <n v="369525"/>
    <n v="6.54"/>
    <n v="20733"/>
    <n v="3.9239564305527366E-4"/>
    <n v="145"/>
  </r>
  <r>
    <x v="46"/>
    <x v="0"/>
    <n v="961"/>
    <n v="358"/>
    <n v="62942"/>
    <n v="6.8"/>
    <n v="18693"/>
    <n v="9.5802484827301332E-3"/>
    <n v="603"/>
  </r>
  <r>
    <x v="46"/>
    <x v="1"/>
    <n v="1375"/>
    <n v="330"/>
    <n v="377382"/>
    <n v="2.6"/>
    <n v="7875"/>
    <n v="2.7690774864725927E-3"/>
    <n v="1045"/>
  </r>
  <r>
    <x v="46"/>
    <x v="2"/>
    <n v="1147"/>
    <n v="388"/>
    <n v="333851"/>
    <n v="2.44"/>
    <n v="8471"/>
    <n v="2.2734693021737242E-3"/>
    <n v="759"/>
  </r>
  <r>
    <x v="46"/>
    <x v="3"/>
    <n v="1707"/>
    <n v="74"/>
    <n v="270958"/>
    <n v="3.09"/>
    <n v="14090"/>
    <n v="6.0267642955734836E-3"/>
    <n v="1633"/>
  </r>
  <r>
    <x v="47"/>
    <x v="0"/>
    <n v="1693"/>
    <n v="154"/>
    <n v="445944"/>
    <n v="5.69"/>
    <n v="14216"/>
    <n v="3.4511059684624078E-3"/>
    <n v="1539"/>
  </r>
  <r>
    <x v="47"/>
    <x v="1"/>
    <n v="833"/>
    <n v="380"/>
    <n v="224830"/>
    <n v="3.86"/>
    <n v="3582"/>
    <n v="2.014855668727483E-3"/>
    <n v="453"/>
  </r>
  <r>
    <x v="47"/>
    <x v="2"/>
    <n v="1222"/>
    <n v="274"/>
    <n v="487289"/>
    <n v="3.16"/>
    <n v="32500"/>
    <n v="1.9454574184929272E-3"/>
    <n v="948"/>
  </r>
  <r>
    <x v="47"/>
    <x v="3"/>
    <n v="777"/>
    <n v="140"/>
    <n v="11435"/>
    <n v="1.6"/>
    <n v="6832"/>
    <n v="5.5706165282028861E-2"/>
    <n v="637"/>
  </r>
  <r>
    <x v="48"/>
    <x v="0"/>
    <n v="1957"/>
    <n v="76"/>
    <n v="447902"/>
    <n v="6.09"/>
    <n v="33381"/>
    <n v="4.1995793722733989E-3"/>
    <n v="1881"/>
  </r>
  <r>
    <x v="48"/>
    <x v="1"/>
    <n v="405"/>
    <n v="66"/>
    <n v="418696"/>
    <n v="5.59"/>
    <n v="48419"/>
    <n v="8.0965664826031301E-4"/>
    <n v="339"/>
  </r>
  <r>
    <x v="48"/>
    <x v="2"/>
    <n v="1581"/>
    <n v="71"/>
    <n v="484364"/>
    <n v="3.55"/>
    <n v="16149"/>
    <n v="3.1174901520344203E-3"/>
    <n v="1510"/>
  </r>
  <r>
    <x v="48"/>
    <x v="3"/>
    <n v="1035"/>
    <n v="171"/>
    <n v="148477"/>
    <n v="5.21"/>
    <n v="7541"/>
    <n v="5.8190830903102836E-3"/>
    <n v="864"/>
  </r>
  <r>
    <x v="49"/>
    <x v="0"/>
    <n v="1765"/>
    <n v="109"/>
    <n v="468301"/>
    <n v="1.82"/>
    <n v="20042"/>
    <n v="3.5361871958419907E-3"/>
    <n v="1656"/>
  </r>
  <r>
    <x v="49"/>
    <x v="1"/>
    <n v="837"/>
    <n v="430"/>
    <n v="364820"/>
    <n v="4"/>
    <n v="49400"/>
    <n v="1.1156186612576065E-3"/>
    <n v="407"/>
  </r>
  <r>
    <x v="49"/>
    <x v="2"/>
    <n v="337"/>
    <n v="68"/>
    <n v="456298"/>
    <n v="7.57"/>
    <n v="4007"/>
    <n v="5.8952701962314107E-4"/>
    <n v="269"/>
  </r>
  <r>
    <x v="49"/>
    <x v="3"/>
    <n v="119"/>
    <n v="456"/>
    <n v="82558"/>
    <n v="6.81"/>
    <n v="12174"/>
    <n v="-4.0819787301048958E-3"/>
    <n v="-337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Instagram"/>
    <n v="1135"/>
    <n v="88"/>
    <n v="344084"/>
    <n v="8.06"/>
    <n v="5904"/>
    <n v="3.0428616268120576E-3"/>
    <n v="1047"/>
  </r>
  <r>
    <x v="0"/>
    <s v="Facebook"/>
    <n v="1312"/>
    <n v="310"/>
    <n v="42654"/>
    <n v="4.9800000000000004"/>
    <n v="9566"/>
    <n v="2.3491348994232664E-2"/>
    <n v="1002"/>
  </r>
  <r>
    <x v="0"/>
    <s v="Twitter"/>
    <n v="584"/>
    <n v="169"/>
    <n v="146834"/>
    <n v="8.31"/>
    <n v="26752"/>
    <n v="2.826320879360366E-3"/>
    <n v="415"/>
  </r>
  <r>
    <x v="0"/>
    <s v="YouTube"/>
    <n v="1535"/>
    <n v="445"/>
    <n v="395536"/>
    <n v="4.1100000000000003"/>
    <n v="30671"/>
    <n v="2.7557542170624167E-3"/>
    <n v="1090"/>
  </r>
  <r>
    <x v="1"/>
    <s v="Instagram"/>
    <n v="656"/>
    <n v="139"/>
    <n v="49157"/>
    <n v="9.0500000000000007"/>
    <n v="9920"/>
    <n v="1.0517322049758936E-2"/>
    <n v="517"/>
  </r>
  <r>
    <x v="1"/>
    <s v="Facebook"/>
    <n v="1697"/>
    <n v="414"/>
    <n v="316555"/>
    <n v="2.37"/>
    <n v="7924"/>
    <n v="4.0530081660374974E-3"/>
    <n v="1283"/>
  </r>
  <r>
    <x v="1"/>
    <s v="Twitter"/>
    <n v="436"/>
    <n v="250"/>
    <n v="254347"/>
    <n v="4.01"/>
    <n v="8912"/>
    <n v="7.3128442639386348E-4"/>
    <n v="186"/>
  </r>
  <r>
    <x v="1"/>
    <s v="YouTube"/>
    <n v="1197"/>
    <n v="203"/>
    <n v="413878"/>
    <n v="3.16"/>
    <n v="21205"/>
    <n v="2.4016739232334168E-3"/>
    <n v="994"/>
  </r>
  <r>
    <x v="2"/>
    <s v="Instagram"/>
    <n v="1048"/>
    <n v="155"/>
    <n v="456946"/>
    <n v="2.46"/>
    <n v="11329"/>
    <n v="1.9542790614208243E-3"/>
    <n v="893"/>
  </r>
  <r>
    <x v="2"/>
    <s v="Facebook"/>
    <n v="1753"/>
    <n v="371"/>
    <n v="169496"/>
    <n v="8.11"/>
    <n v="46670"/>
    <n v="8.1535847453627231E-3"/>
    <n v="1382"/>
  </r>
  <r>
    <x v="2"/>
    <s v="Twitter"/>
    <n v="1335"/>
    <n v="40"/>
    <n v="122732"/>
    <n v="8.19"/>
    <n v="22482"/>
    <n v="1.0551445425805821E-2"/>
    <n v="1295"/>
  </r>
  <r>
    <x v="2"/>
    <s v="YouTube"/>
    <n v="403"/>
    <n v="66"/>
    <n v="382851"/>
    <n v="3.49"/>
    <n v="24313"/>
    <n v="8.80238003818718E-4"/>
    <n v="337"/>
  </r>
  <r>
    <x v="3"/>
    <s v="Instagram"/>
    <n v="911"/>
    <n v="282"/>
    <n v="35664"/>
    <n v="6.92"/>
    <n v="18050"/>
    <n v="1.7636832660385824E-2"/>
    <n v="629"/>
  </r>
  <r>
    <x v="3"/>
    <s v="Facebook"/>
    <n v="1779"/>
    <n v="109"/>
    <n v="26295"/>
    <n v="9.1199999999999992"/>
    <n v="30635"/>
    <n v="6.3510173036698994E-2"/>
    <n v="1670"/>
  </r>
  <r>
    <x v="3"/>
    <s v="Twitter"/>
    <n v="1238"/>
    <n v="403"/>
    <n v="298421"/>
    <n v="3.5"/>
    <n v="31280"/>
    <n v="2.798060458211721E-3"/>
    <n v="835"/>
  </r>
  <r>
    <x v="3"/>
    <s v="YouTube"/>
    <n v="308"/>
    <n v="431"/>
    <n v="426184"/>
    <n v="2.62"/>
    <n v="1783"/>
    <n v="-2.8860773750305035E-4"/>
    <n v="-123"/>
  </r>
  <r>
    <x v="4"/>
    <s v="Instagram"/>
    <n v="226"/>
    <n v="445"/>
    <n v="419447"/>
    <n v="9.36"/>
    <n v="9566"/>
    <n v="-5.2211602419375983E-4"/>
    <n v="-219"/>
  </r>
  <r>
    <x v="4"/>
    <s v="Facebook"/>
    <n v="505"/>
    <n v="441"/>
    <n v="220020"/>
    <n v="4.4800000000000004"/>
    <n v="42307"/>
    <n v="2.9088264703208797E-4"/>
    <n v="64"/>
  </r>
  <r>
    <x v="4"/>
    <s v="Twitter"/>
    <n v="1420"/>
    <n v="63"/>
    <n v="315305"/>
    <n v="6.19"/>
    <n v="5914"/>
    <n v="4.3037693661692649E-3"/>
    <n v="1357"/>
  </r>
  <r>
    <x v="4"/>
    <s v="YouTube"/>
    <n v="144"/>
    <n v="53"/>
    <n v="113678"/>
    <n v="8.7200000000000006"/>
    <n v="30060"/>
    <n v="8.0050669434719116E-4"/>
    <n v="91"/>
  </r>
  <r>
    <x v="5"/>
    <s v="Instagram"/>
    <n v="1757"/>
    <n v="85"/>
    <n v="58223"/>
    <n v="8.74"/>
    <n v="22728"/>
    <n v="2.8717173625543171E-2"/>
    <n v="1672"/>
  </r>
  <r>
    <x v="5"/>
    <s v="Facebook"/>
    <n v="350"/>
    <n v="41"/>
    <n v="251694"/>
    <n v="1.91"/>
    <n v="38610"/>
    <n v="1.2276812319721568E-3"/>
    <n v="309"/>
  </r>
  <r>
    <x v="5"/>
    <s v="Twitter"/>
    <n v="987"/>
    <n v="440"/>
    <n v="389810"/>
    <n v="4.66"/>
    <n v="2932"/>
    <n v="1.40324773607655E-3"/>
    <n v="547"/>
  </r>
  <r>
    <x v="5"/>
    <s v="YouTube"/>
    <n v="883"/>
    <n v="369"/>
    <n v="233694"/>
    <n v="2.88"/>
    <n v="15071"/>
    <n v="2.1994574101175039E-3"/>
    <n v="514"/>
  </r>
  <r>
    <x v="6"/>
    <s v="Instagram"/>
    <n v="1960"/>
    <n v="115"/>
    <n v="154169"/>
    <n v="3.74"/>
    <n v="10740"/>
    <n v="1.1967386439556591E-2"/>
    <n v="1845"/>
  </r>
  <r>
    <x v="6"/>
    <s v="Facebook"/>
    <n v="170"/>
    <n v="334"/>
    <n v="334626"/>
    <n v="6.44"/>
    <n v="43420"/>
    <n v="-4.9009939454794306E-4"/>
    <n v="-164"/>
  </r>
  <r>
    <x v="6"/>
    <s v="Twitter"/>
    <n v="704"/>
    <n v="275"/>
    <n v="226002"/>
    <n v="8.56"/>
    <n v="32393"/>
    <n v="1.8982132901478749E-3"/>
    <n v="429"/>
  </r>
  <r>
    <x v="6"/>
    <s v="YouTube"/>
    <n v="224"/>
    <n v="64"/>
    <n v="156683"/>
    <n v="4.5599999999999996"/>
    <n v="28474"/>
    <n v="1.0211701333265254E-3"/>
    <n v="160"/>
  </r>
  <r>
    <x v="7"/>
    <s v="Instagram"/>
    <n v="508"/>
    <n v="349"/>
    <n v="473812"/>
    <n v="7.88"/>
    <n v="17328"/>
    <n v="3.3557613568250698E-4"/>
    <n v="159"/>
  </r>
  <r>
    <x v="7"/>
    <s v="Facebook"/>
    <n v="1391"/>
    <n v="430"/>
    <n v="295032"/>
    <n v="7.86"/>
    <n v="26067"/>
    <n v="3.2572737872501967E-3"/>
    <n v="961"/>
  </r>
  <r>
    <x v="7"/>
    <s v="Twitter"/>
    <n v="1701"/>
    <n v="385"/>
    <n v="198278"/>
    <n v="5.34"/>
    <n v="32763"/>
    <n v="6.6371458255580548E-3"/>
    <n v="1316"/>
  </r>
  <r>
    <x v="7"/>
    <s v="YouTube"/>
    <n v="804"/>
    <n v="487"/>
    <n v="306564"/>
    <n v="5.52"/>
    <n v="26452"/>
    <n v="1.0340418313957282E-3"/>
    <n v="317"/>
  </r>
  <r>
    <x v="8"/>
    <s v="Instagram"/>
    <n v="653"/>
    <n v="112"/>
    <n v="23664"/>
    <n v="4.05"/>
    <n v="15353"/>
    <n v="2.2861730899256253E-2"/>
    <n v="541"/>
  </r>
  <r>
    <x v="8"/>
    <s v="Facebook"/>
    <n v="160"/>
    <n v="478"/>
    <n v="435034"/>
    <n v="7.73"/>
    <n v="4839"/>
    <n v="-7.3097734889686784E-4"/>
    <n v="-318"/>
  </r>
  <r>
    <x v="8"/>
    <s v="Twitter"/>
    <n v="1756"/>
    <n v="261"/>
    <n v="287574"/>
    <n v="4.3600000000000003"/>
    <n v="39272"/>
    <n v="5.1986619096302169E-3"/>
    <n v="1495"/>
  </r>
  <r>
    <x v="8"/>
    <s v="YouTube"/>
    <n v="576"/>
    <n v="101"/>
    <n v="62499"/>
    <n v="3.48"/>
    <n v="16804"/>
    <n v="7.600121601945631E-3"/>
    <n v="475"/>
  </r>
  <r>
    <x v="9"/>
    <s v="Instagram"/>
    <n v="645"/>
    <n v="293"/>
    <n v="437968"/>
    <n v="7.83"/>
    <n v="49303"/>
    <n v="8.0371168669857163E-4"/>
    <n v="352"/>
  </r>
  <r>
    <x v="9"/>
    <s v="Facebook"/>
    <n v="214"/>
    <n v="411"/>
    <n v="125034"/>
    <n v="6.11"/>
    <n v="26455"/>
    <n v="-1.5755714445670778E-3"/>
    <n v="-197"/>
  </r>
  <r>
    <x v="9"/>
    <s v="Twitter"/>
    <n v="826"/>
    <n v="498"/>
    <n v="449994"/>
    <n v="9.43"/>
    <n v="12384"/>
    <n v="7.2889860753698943E-4"/>
    <n v="328"/>
  </r>
  <r>
    <x v="9"/>
    <s v="YouTube"/>
    <n v="460"/>
    <n v="141"/>
    <n v="320650"/>
    <n v="4.04"/>
    <n v="49372"/>
    <n v="9.9485420240137223E-4"/>
    <n v="319"/>
  </r>
  <r>
    <x v="10"/>
    <s v="Instagram"/>
    <n v="1528"/>
    <n v="203"/>
    <n v="489188"/>
    <n v="6.23"/>
    <n v="47101"/>
    <n v="2.7085701202809553E-3"/>
    <n v="1325"/>
  </r>
  <r>
    <x v="10"/>
    <s v="Facebook"/>
    <n v="1534"/>
    <n v="200"/>
    <n v="307612"/>
    <n v="6.01"/>
    <n v="37903"/>
    <n v="4.3366318609156986E-3"/>
    <n v="1334"/>
  </r>
  <r>
    <x v="10"/>
    <s v="Twitter"/>
    <n v="485"/>
    <n v="448"/>
    <n v="434883"/>
    <n v="8.5500000000000007"/>
    <n v="33258"/>
    <n v="8.5080354946042954E-5"/>
    <n v="37"/>
  </r>
  <r>
    <x v="10"/>
    <s v="YouTube"/>
    <n v="1210"/>
    <n v="178"/>
    <n v="102042"/>
    <n v="5.42"/>
    <n v="6915"/>
    <n v="1.011348268360087E-2"/>
    <n v="1032"/>
  </r>
  <r>
    <x v="11"/>
    <s v="Instagram"/>
    <n v="215"/>
    <n v="139"/>
    <n v="325444"/>
    <n v="3.25"/>
    <n v="35501"/>
    <n v="2.335271198731579E-4"/>
    <n v="76"/>
  </r>
  <r>
    <x v="11"/>
    <s v="Facebook"/>
    <n v="1078"/>
    <n v="20"/>
    <n v="183924"/>
    <n v="8.84"/>
    <n v="14203"/>
    <n v="5.7523759813836147E-3"/>
    <n v="1058"/>
  </r>
  <r>
    <x v="11"/>
    <s v="Twitter"/>
    <n v="1751"/>
    <n v="86"/>
    <n v="188655"/>
    <n v="7.24"/>
    <n v="22206"/>
    <n v="8.825634093981077E-3"/>
    <n v="1665"/>
  </r>
  <r>
    <x v="11"/>
    <s v="YouTube"/>
    <n v="221"/>
    <n v="31"/>
    <n v="87443"/>
    <n v="6.19"/>
    <n v="10283"/>
    <n v="2.1728440241071327E-3"/>
    <n v="190"/>
  </r>
  <r>
    <x v="12"/>
    <s v="Instagram"/>
    <n v="1685"/>
    <n v="76"/>
    <n v="453799"/>
    <n v="5.71"/>
    <n v="24913"/>
    <n v="3.5456226214689766E-3"/>
    <n v="1609"/>
  </r>
  <r>
    <x v="12"/>
    <s v="Facebook"/>
    <n v="248"/>
    <n v="211"/>
    <n v="379380"/>
    <n v="9.0399999999999991"/>
    <n v="26925"/>
    <n v="9.7527544941747058E-5"/>
    <n v="37"/>
  </r>
  <r>
    <x v="12"/>
    <s v="Twitter"/>
    <n v="1300"/>
    <n v="71"/>
    <n v="186454"/>
    <n v="3.91"/>
    <n v="9942"/>
    <n v="6.5914381026955706E-3"/>
    <n v="1229"/>
  </r>
  <r>
    <x v="12"/>
    <s v="YouTube"/>
    <n v="422"/>
    <n v="394"/>
    <n v="239044"/>
    <n v="7.83"/>
    <n v="32929"/>
    <n v="1.1713324743561855E-4"/>
    <n v="28"/>
  </r>
  <r>
    <x v="13"/>
    <s v="Instagram"/>
    <n v="1429"/>
    <n v="182"/>
    <n v="101332"/>
    <n v="7.16"/>
    <n v="37829"/>
    <n v="1.2306082974775983E-2"/>
    <n v="1247"/>
  </r>
  <r>
    <x v="13"/>
    <s v="Facebook"/>
    <n v="1520"/>
    <n v="475"/>
    <n v="496982"/>
    <n v="6.41"/>
    <n v="24384"/>
    <n v="2.1026918479944948E-3"/>
    <n v="1045"/>
  </r>
  <r>
    <x v="13"/>
    <s v="Twitter"/>
    <n v="557"/>
    <n v="360"/>
    <n v="318779"/>
    <n v="8.02"/>
    <n v="25797"/>
    <n v="6.1798299135137512E-4"/>
    <n v="197"/>
  </r>
  <r>
    <x v="13"/>
    <s v="YouTube"/>
    <n v="728"/>
    <n v="395"/>
    <n v="370971"/>
    <n v="3.86"/>
    <n v="12646"/>
    <n v="8.9764429025449434E-4"/>
    <n v="333"/>
  </r>
  <r>
    <x v="14"/>
    <s v="Instagram"/>
    <n v="1592"/>
    <n v="20"/>
    <n v="378054"/>
    <n v="9.09"/>
    <n v="26663"/>
    <n v="4.1581361392816901E-3"/>
    <n v="1572"/>
  </r>
  <r>
    <x v="14"/>
    <s v="Facebook"/>
    <n v="1842"/>
    <n v="414"/>
    <n v="307524"/>
    <n v="1.76"/>
    <n v="40478"/>
    <n v="4.6435400163889647E-3"/>
    <n v="1428"/>
  </r>
  <r>
    <x v="14"/>
    <s v="Twitter"/>
    <n v="751"/>
    <n v="491"/>
    <n v="434047"/>
    <n v="9.24"/>
    <n v="15476"/>
    <n v="5.990134708914012E-4"/>
    <n v="260"/>
  </r>
  <r>
    <x v="14"/>
    <s v="YouTube"/>
    <n v="1409"/>
    <n v="309"/>
    <n v="64583"/>
    <n v="8.99"/>
    <n v="10217"/>
    <n v="1.7032345973398571E-2"/>
    <n v="1100"/>
  </r>
  <r>
    <x v="15"/>
    <s v="Instagram"/>
    <n v="778"/>
    <n v="401"/>
    <n v="50793"/>
    <n v="3.4"/>
    <n v="21939"/>
    <n v="7.4222825979957871E-3"/>
    <n v="377"/>
  </r>
  <r>
    <x v="15"/>
    <s v="Facebook"/>
    <n v="443"/>
    <n v="345"/>
    <n v="474162"/>
    <n v="9.1999999999999993"/>
    <n v="47462"/>
    <n v="2.0668041724136477E-4"/>
    <n v="98"/>
  </r>
  <r>
    <x v="15"/>
    <s v="Twitter"/>
    <n v="1472"/>
    <n v="347"/>
    <n v="392355"/>
    <n v="8.59"/>
    <n v="30270"/>
    <n v="2.8673012960201858E-3"/>
    <n v="1125"/>
  </r>
  <r>
    <x v="15"/>
    <s v="YouTube"/>
    <n v="123"/>
    <n v="155"/>
    <n v="119934"/>
    <n v="3.5"/>
    <n v="5442"/>
    <n v="-2.6681341404439108E-4"/>
    <n v="-32"/>
  </r>
  <r>
    <x v="16"/>
    <s v="Instagram"/>
    <n v="817"/>
    <n v="151"/>
    <n v="422625"/>
    <n v="2.36"/>
    <n v="1083"/>
    <n v="1.5758651286601596E-3"/>
    <n v="666"/>
  </r>
  <r>
    <x v="16"/>
    <s v="Facebook"/>
    <n v="198"/>
    <n v="217"/>
    <n v="239753"/>
    <n v="7.36"/>
    <n v="11901"/>
    <n v="-7.9248226299566635E-5"/>
    <n v="-19"/>
  </r>
  <r>
    <x v="16"/>
    <s v="Twitter"/>
    <n v="1911"/>
    <n v="231"/>
    <n v="268516"/>
    <n v="8.5500000000000007"/>
    <n v="24018"/>
    <n v="6.2566104068286429E-3"/>
    <n v="1680"/>
  </r>
  <r>
    <x v="16"/>
    <s v="YouTube"/>
    <n v="1218"/>
    <n v="212"/>
    <n v="63177"/>
    <n v="8.1300000000000008"/>
    <n v="38883"/>
    <n v="1.592351646960128E-2"/>
    <n v="1006"/>
  </r>
  <r>
    <x v="17"/>
    <s v="Instagram"/>
    <n v="1433"/>
    <n v="408"/>
    <n v="370269"/>
    <n v="3.3"/>
    <n v="30575"/>
    <n v="2.7682576721248606E-3"/>
    <n v="1025"/>
  </r>
  <r>
    <x v="17"/>
    <s v="Facebook"/>
    <n v="250"/>
    <n v="429"/>
    <n v="453423"/>
    <n v="1.77"/>
    <n v="2315"/>
    <n v="-3.9477485703195471E-4"/>
    <n v="-179"/>
  </r>
  <r>
    <x v="17"/>
    <s v="Twitter"/>
    <n v="752"/>
    <n v="153"/>
    <n v="64906"/>
    <n v="2.09"/>
    <n v="12148"/>
    <n v="9.2287307798970819E-3"/>
    <n v="599"/>
  </r>
  <r>
    <x v="17"/>
    <s v="YouTube"/>
    <n v="1918"/>
    <n v="212"/>
    <n v="94360"/>
    <n v="7.36"/>
    <n v="36851"/>
    <n v="1.8079694785926241E-2"/>
    <n v="1706"/>
  </r>
  <r>
    <x v="18"/>
    <s v="Instagram"/>
    <n v="1939"/>
    <n v="67"/>
    <n v="187183"/>
    <n v="6.25"/>
    <n v="41215"/>
    <n v="1.0000908202133741E-2"/>
    <n v="1872"/>
  </r>
  <r>
    <x v="18"/>
    <s v="Facebook"/>
    <n v="1929"/>
    <n v="267"/>
    <n v="379363"/>
    <n v="1.75"/>
    <n v="43836"/>
    <n v="4.3810281972675247E-3"/>
    <n v="1662"/>
  </r>
  <r>
    <x v="18"/>
    <s v="Twitter"/>
    <n v="437"/>
    <n v="330"/>
    <n v="476486"/>
    <n v="4.97"/>
    <n v="4509"/>
    <n v="2.2456063766826309E-4"/>
    <n v="107"/>
  </r>
  <r>
    <x v="18"/>
    <s v="YouTube"/>
    <n v="307"/>
    <n v="189"/>
    <n v="117767"/>
    <n v="9.3000000000000007"/>
    <n v="27822"/>
    <n v="1.0019784829366461E-3"/>
    <n v="118"/>
  </r>
  <r>
    <x v="19"/>
    <s v="Instagram"/>
    <n v="1527"/>
    <n v="303"/>
    <n v="388555"/>
    <n v="8.9"/>
    <n v="36397"/>
    <n v="3.1501331857780751E-3"/>
    <n v="1224"/>
  </r>
  <r>
    <x v="19"/>
    <s v="Facebook"/>
    <n v="643"/>
    <n v="358"/>
    <n v="157599"/>
    <n v="3.88"/>
    <n v="7285"/>
    <n v="1.8083871090552605E-3"/>
    <n v="285"/>
  </r>
  <r>
    <x v="19"/>
    <s v="Twitter"/>
    <n v="201"/>
    <n v="221"/>
    <n v="309772"/>
    <n v="5.9"/>
    <n v="33174"/>
    <n v="-6.456361452939582E-5"/>
    <n v="-20"/>
  </r>
  <r>
    <x v="19"/>
    <s v="YouTube"/>
    <n v="414"/>
    <n v="47"/>
    <n v="199178"/>
    <n v="1.53"/>
    <n v="6742"/>
    <n v="1.8425729749269497E-3"/>
    <n v="367"/>
  </r>
  <r>
    <x v="20"/>
    <s v="Instagram"/>
    <n v="703"/>
    <n v="441"/>
    <n v="357089"/>
    <n v="6.5"/>
    <n v="32478"/>
    <n v="7.3371064356504961E-4"/>
    <n v="262"/>
  </r>
  <r>
    <x v="20"/>
    <s v="Facebook"/>
    <n v="508"/>
    <n v="69"/>
    <n v="23492"/>
    <n v="3.16"/>
    <n v="42824"/>
    <n v="1.8687212668142345E-2"/>
    <n v="439"/>
  </r>
  <r>
    <x v="20"/>
    <s v="Twitter"/>
    <n v="697"/>
    <n v="61"/>
    <n v="258287"/>
    <n v="8.25"/>
    <n v="21208"/>
    <n v="2.4623771231227277E-3"/>
    <n v="636"/>
  </r>
  <r>
    <x v="20"/>
    <s v="YouTube"/>
    <n v="1707"/>
    <n v="223"/>
    <n v="256910"/>
    <n v="5.41"/>
    <n v="44321"/>
    <n v="5.7763419096181542E-3"/>
    <n v="1484"/>
  </r>
  <r>
    <x v="21"/>
    <s v="Instagram"/>
    <n v="642"/>
    <n v="66"/>
    <n v="346522"/>
    <n v="5.85"/>
    <n v="13116"/>
    <n v="1.6622321237901201E-3"/>
    <n v="576"/>
  </r>
  <r>
    <x v="21"/>
    <s v="Facebook"/>
    <n v="859"/>
    <n v="473"/>
    <n v="209987"/>
    <n v="4.46"/>
    <n v="30214"/>
    <n v="1.8382090319876945E-3"/>
    <n v="386"/>
  </r>
  <r>
    <x v="21"/>
    <s v="Twitter"/>
    <n v="191"/>
    <n v="154"/>
    <n v="240550"/>
    <n v="5.22"/>
    <n v="15827"/>
    <n v="1.5381417584701726E-4"/>
    <n v="37"/>
  </r>
  <r>
    <x v="21"/>
    <s v="YouTube"/>
    <n v="1814"/>
    <n v="157"/>
    <n v="305827"/>
    <n v="1.99"/>
    <n v="46643"/>
    <n v="5.4180958515762179E-3"/>
    <n v="1657"/>
  </r>
  <r>
    <x v="22"/>
    <s v="Instagram"/>
    <n v="1466"/>
    <n v="69"/>
    <n v="54935"/>
    <n v="6.85"/>
    <n v="36484"/>
    <n v="2.5430053699827069E-2"/>
    <n v="1397"/>
  </r>
  <r>
    <x v="22"/>
    <s v="Facebook"/>
    <n v="947"/>
    <n v="407"/>
    <n v="319186"/>
    <n v="3.32"/>
    <n v="4996"/>
    <n v="1.6918035252172713E-3"/>
    <n v="540"/>
  </r>
  <r>
    <x v="22"/>
    <s v="Twitter"/>
    <n v="1821"/>
    <n v="218"/>
    <n v="439080"/>
    <n v="5.68"/>
    <n v="36095"/>
    <n v="3.6508153411678964E-3"/>
    <n v="1603"/>
  </r>
  <r>
    <x v="22"/>
    <s v="YouTube"/>
    <n v="1507"/>
    <n v="463"/>
    <n v="258944"/>
    <n v="6.08"/>
    <n v="16443"/>
    <n v="4.0317597627286209E-3"/>
    <n v="1044"/>
  </r>
  <r>
    <x v="23"/>
    <s v="Instagram"/>
    <n v="1075"/>
    <n v="173"/>
    <n v="51395"/>
    <n v="4.66"/>
    <n v="47812"/>
    <n v="1.7550345364335054E-2"/>
    <n v="902"/>
  </r>
  <r>
    <x v="23"/>
    <s v="Facebook"/>
    <n v="171"/>
    <n v="277"/>
    <n v="309483"/>
    <n v="8.6999999999999993"/>
    <n v="38452"/>
    <n v="-3.4250669665215861E-4"/>
    <n v="-106"/>
  </r>
  <r>
    <x v="23"/>
    <s v="Twitter"/>
    <n v="1487"/>
    <n v="337"/>
    <n v="87305"/>
    <n v="2.46"/>
    <n v="30428"/>
    <n v="1.3172212358971423E-2"/>
    <n v="1150"/>
  </r>
  <r>
    <x v="23"/>
    <s v="YouTube"/>
    <n v="454"/>
    <n v="105"/>
    <n v="121091"/>
    <n v="7.97"/>
    <n v="9269"/>
    <n v="2.8821299683708945E-3"/>
    <n v="349"/>
  </r>
  <r>
    <x v="24"/>
    <s v="Instagram"/>
    <n v="187"/>
    <n v="236"/>
    <n v="51087"/>
    <n v="9.41"/>
    <n v="29533"/>
    <n v="-9.5914811987394058E-4"/>
    <n v="-49"/>
  </r>
  <r>
    <x v="24"/>
    <s v="Facebook"/>
    <n v="513"/>
    <n v="441"/>
    <n v="338847"/>
    <n v="2.68"/>
    <n v="39997"/>
    <n v="2.1248528096751631E-4"/>
    <n v="72"/>
  </r>
  <r>
    <x v="24"/>
    <s v="Twitter"/>
    <n v="628"/>
    <n v="183"/>
    <n v="487523"/>
    <n v="7.32"/>
    <n v="5391"/>
    <n v="9.1277744844858602E-4"/>
    <n v="445"/>
  </r>
  <r>
    <x v="24"/>
    <s v="YouTube"/>
    <n v="278"/>
    <n v="218"/>
    <n v="301695"/>
    <n v="4.68"/>
    <n v="22373"/>
    <n v="1.9887634863023914E-4"/>
    <n v="60"/>
  </r>
  <r>
    <x v="25"/>
    <s v="Instagram"/>
    <n v="1854"/>
    <n v="161"/>
    <n v="282466"/>
    <n v="5.17"/>
    <n v="1810"/>
    <n v="5.9936417126309005E-3"/>
    <n v="1693"/>
  </r>
  <r>
    <x v="25"/>
    <s v="Facebook"/>
    <n v="1710"/>
    <n v="378"/>
    <n v="336661"/>
    <n v="6.2"/>
    <n v="28498"/>
    <n v="3.9565022381564839E-3"/>
    <n v="1332"/>
  </r>
  <r>
    <x v="25"/>
    <s v="Twitter"/>
    <n v="330"/>
    <n v="232"/>
    <n v="88455"/>
    <n v="2.69"/>
    <n v="39530"/>
    <n v="1.1079079758069075E-3"/>
    <n v="98"/>
  </r>
  <r>
    <x v="25"/>
    <s v="YouTube"/>
    <n v="1293"/>
    <n v="408"/>
    <n v="62535"/>
    <n v="8.9"/>
    <n v="37876"/>
    <n v="1.4152074838090669E-2"/>
    <n v="885"/>
  </r>
  <r>
    <x v="26"/>
    <s v="Instagram"/>
    <n v="1696"/>
    <n v="71"/>
    <n v="421957"/>
    <n v="3.79"/>
    <n v="36103"/>
    <n v="3.8511033114748661E-3"/>
    <n v="1625"/>
  </r>
  <r>
    <x v="26"/>
    <s v="Facebook"/>
    <n v="1902"/>
    <n v="196"/>
    <n v="470269"/>
    <n v="4.79"/>
    <n v="26103"/>
    <n v="3.6277109484146308E-3"/>
    <n v="1706"/>
  </r>
  <r>
    <x v="26"/>
    <s v="Twitter"/>
    <n v="1441"/>
    <n v="268"/>
    <n v="309904"/>
    <n v="6.37"/>
    <n v="3455"/>
    <n v="3.7850431101244257E-3"/>
    <n v="1173"/>
  </r>
  <r>
    <x v="26"/>
    <s v="YouTube"/>
    <n v="452"/>
    <n v="161"/>
    <n v="221274"/>
    <n v="2.65"/>
    <n v="40888"/>
    <n v="1.3151115811166245E-3"/>
    <n v="291"/>
  </r>
  <r>
    <x v="27"/>
    <s v="Instagram"/>
    <n v="1494"/>
    <n v="375"/>
    <n v="220616"/>
    <n v="1.81"/>
    <n v="22724"/>
    <n v="5.0721615839286359E-3"/>
    <n v="1119"/>
  </r>
  <r>
    <x v="27"/>
    <s v="Facebook"/>
    <n v="1514"/>
    <n v="141"/>
    <n v="35842"/>
    <n v="7.47"/>
    <n v="18601"/>
    <n v="3.8307014117515761E-2"/>
    <n v="1373"/>
  </r>
  <r>
    <x v="27"/>
    <s v="Twitter"/>
    <n v="1937"/>
    <n v="210"/>
    <n v="20607"/>
    <n v="4.2"/>
    <n v="20861"/>
    <n v="8.3806473528412681E-2"/>
    <n v="1727"/>
  </r>
  <r>
    <x v="27"/>
    <s v="YouTube"/>
    <n v="736"/>
    <n v="163"/>
    <n v="451894"/>
    <n v="5.43"/>
    <n v="46625"/>
    <n v="1.2679964770499277E-3"/>
    <n v="573"/>
  </r>
  <r>
    <x v="28"/>
    <s v="Instagram"/>
    <n v="1502"/>
    <n v="70"/>
    <n v="465553"/>
    <n v="3.32"/>
    <n v="20692"/>
    <n v="3.0759118725472716E-3"/>
    <n v="1432"/>
  </r>
  <r>
    <x v="28"/>
    <s v="Facebook"/>
    <n v="1623"/>
    <n v="246"/>
    <n v="415815"/>
    <n v="8.11"/>
    <n v="18656"/>
    <n v="3.311568846722701E-3"/>
    <n v="1377"/>
  </r>
  <r>
    <x v="28"/>
    <s v="Twitter"/>
    <n v="1592"/>
    <n v="233"/>
    <n v="327183"/>
    <n v="6.66"/>
    <n v="13316"/>
    <n v="4.1536387893013997E-3"/>
    <n v="1359"/>
  </r>
  <r>
    <x v="28"/>
    <s v="YouTube"/>
    <n v="1004"/>
    <n v="128"/>
    <n v="488901"/>
    <n v="8.09"/>
    <n v="49558"/>
    <n v="1.7917737946946315E-3"/>
    <n v="876"/>
  </r>
  <r>
    <x v="29"/>
    <s v="Instagram"/>
    <n v="1092"/>
    <n v="408"/>
    <n v="280795"/>
    <n v="8.44"/>
    <n v="4683"/>
    <n v="2.4359408109118751E-3"/>
    <n v="684"/>
  </r>
  <r>
    <x v="29"/>
    <s v="Facebook"/>
    <n v="1155"/>
    <n v="425"/>
    <n v="93347"/>
    <n v="2.02"/>
    <n v="47502"/>
    <n v="7.8202834584935772E-3"/>
    <n v="730"/>
  </r>
  <r>
    <x v="29"/>
    <s v="Twitter"/>
    <n v="1137"/>
    <n v="226"/>
    <n v="81119"/>
    <n v="7.74"/>
    <n v="35359"/>
    <n v="1.1230414576116569E-2"/>
    <n v="911"/>
  </r>
  <r>
    <x v="29"/>
    <s v="YouTube"/>
    <n v="1900"/>
    <n v="311"/>
    <n v="25177"/>
    <n v="2.89"/>
    <n v="14154"/>
    <n v="6.3113158835445049E-2"/>
    <n v="1589"/>
  </r>
  <r>
    <x v="30"/>
    <s v="Instagram"/>
    <n v="1814"/>
    <n v="49"/>
    <n v="140804"/>
    <n v="1.76"/>
    <n v="4313"/>
    <n v="1.253515525127127E-2"/>
    <n v="1765"/>
  </r>
  <r>
    <x v="30"/>
    <s v="Facebook"/>
    <n v="1980"/>
    <n v="204"/>
    <n v="379431"/>
    <n v="3.09"/>
    <n v="25140"/>
    <n v="4.6806929323118035E-3"/>
    <n v="1776"/>
  </r>
  <r>
    <x v="30"/>
    <s v="Twitter"/>
    <n v="1786"/>
    <n v="257"/>
    <n v="274831"/>
    <n v="4.68"/>
    <n v="9118"/>
    <n v="5.5634189738421064E-3"/>
    <n v="1529"/>
  </r>
  <r>
    <x v="30"/>
    <s v="YouTube"/>
    <n v="1495"/>
    <n v="35"/>
    <n v="136845"/>
    <n v="4.4800000000000004"/>
    <n v="39931"/>
    <n v="1.0669005078738719E-2"/>
    <n v="1460"/>
  </r>
  <r>
    <x v="31"/>
    <s v="Instagram"/>
    <n v="1013"/>
    <n v="110"/>
    <n v="466382"/>
    <n v="5.3"/>
    <n v="37132"/>
    <n v="1.9361810704529763E-3"/>
    <n v="903"/>
  </r>
  <r>
    <x v="31"/>
    <s v="Facebook"/>
    <n v="816"/>
    <n v="196"/>
    <n v="95728"/>
    <n v="8.1999999999999993"/>
    <n v="17951"/>
    <n v="6.4766839378238338E-3"/>
    <n v="620"/>
  </r>
  <r>
    <x v="31"/>
    <s v="Twitter"/>
    <n v="1633"/>
    <n v="445"/>
    <n v="371156"/>
    <n v="2.2200000000000002"/>
    <n v="2798"/>
    <n v="3.2008104408927781E-3"/>
    <n v="1188"/>
  </r>
  <r>
    <x v="31"/>
    <s v="YouTube"/>
    <n v="891"/>
    <n v="45"/>
    <n v="95410"/>
    <n v="8.33"/>
    <n v="15045"/>
    <n v="8.8669950738916262E-3"/>
    <n v="846"/>
  </r>
  <r>
    <x v="32"/>
    <s v="Instagram"/>
    <n v="1855"/>
    <n v="133"/>
    <n v="349413"/>
    <n v="3.3"/>
    <n v="14548"/>
    <n v="4.9282654051223049E-3"/>
    <n v="1722"/>
  </r>
  <r>
    <x v="32"/>
    <s v="Facebook"/>
    <n v="651"/>
    <n v="353"/>
    <n v="224699"/>
    <n v="5.61"/>
    <n v="45708"/>
    <n v="1.3262186302564765E-3"/>
    <n v="298"/>
  </r>
  <r>
    <x v="32"/>
    <s v="Twitter"/>
    <n v="118"/>
    <n v="262"/>
    <n v="487896"/>
    <n v="2.56"/>
    <n v="12350"/>
    <n v="-2.9514486693885583E-4"/>
    <n v="-144"/>
  </r>
  <r>
    <x v="32"/>
    <s v="YouTube"/>
    <n v="1331"/>
    <n v="430"/>
    <n v="14437"/>
    <n v="3.29"/>
    <n v="40868"/>
    <n v="6.2409087760615087E-2"/>
    <n v="901"/>
  </r>
  <r>
    <x v="33"/>
    <s v="Instagram"/>
    <n v="1748"/>
    <n v="176"/>
    <n v="383681"/>
    <n v="9.24"/>
    <n v="43122"/>
    <n v="4.0971536250166149E-3"/>
    <n v="1572"/>
  </r>
  <r>
    <x v="33"/>
    <s v="Facebook"/>
    <n v="663"/>
    <n v="236"/>
    <n v="479490"/>
    <n v="4.51"/>
    <n v="23853"/>
    <n v="8.9052952094934197E-4"/>
    <n v="427"/>
  </r>
  <r>
    <x v="33"/>
    <s v="Twitter"/>
    <n v="1040"/>
    <n v="149"/>
    <n v="124404"/>
    <n v="5.23"/>
    <n v="45380"/>
    <n v="7.1621491270377159E-3"/>
    <n v="891"/>
  </r>
  <r>
    <x v="33"/>
    <s v="YouTube"/>
    <n v="1166"/>
    <n v="442"/>
    <n v="336949"/>
    <n v="4.68"/>
    <n v="7705"/>
    <n v="2.1486931256659019E-3"/>
    <n v="724"/>
  </r>
  <r>
    <x v="34"/>
    <s v="Instagram"/>
    <n v="115"/>
    <n v="281"/>
    <n v="357265"/>
    <n v="9.23"/>
    <n v="25525"/>
    <n v="-4.6464109274628077E-4"/>
    <n v="-166"/>
  </r>
  <r>
    <x v="34"/>
    <s v="Facebook"/>
    <n v="1249"/>
    <n v="351"/>
    <n v="321307"/>
    <n v="6.37"/>
    <n v="20560"/>
    <n v="2.7948348464241365E-3"/>
    <n v="898"/>
  </r>
  <r>
    <x v="34"/>
    <s v="Twitter"/>
    <n v="1501"/>
    <n v="75"/>
    <n v="262569"/>
    <n v="2.0099999999999998"/>
    <n v="19119"/>
    <n v="5.4309533874905263E-3"/>
    <n v="1426"/>
  </r>
  <r>
    <x v="34"/>
    <s v="YouTube"/>
    <n v="1411"/>
    <n v="186"/>
    <n v="461669"/>
    <n v="3.72"/>
    <n v="43999"/>
    <n v="2.6534161921203288E-3"/>
    <n v="1225"/>
  </r>
  <r>
    <x v="35"/>
    <s v="Instagram"/>
    <n v="1556"/>
    <n v="476"/>
    <n v="351556"/>
    <n v="3.89"/>
    <n v="10825"/>
    <n v="3.0720567989168156E-3"/>
    <n v="1080"/>
  </r>
  <r>
    <x v="35"/>
    <s v="Facebook"/>
    <n v="1159"/>
    <n v="411"/>
    <n v="135987"/>
    <n v="8.6999999999999993"/>
    <n v="40323"/>
    <n v="5.5005257855530306E-3"/>
    <n v="748"/>
  </r>
  <r>
    <x v="35"/>
    <s v="Twitter"/>
    <n v="927"/>
    <n v="358"/>
    <n v="177554"/>
    <n v="6.95"/>
    <n v="48270"/>
    <n v="3.2046588643454949E-3"/>
    <n v="569"/>
  </r>
  <r>
    <x v="35"/>
    <s v="YouTube"/>
    <n v="152"/>
    <n v="355"/>
    <n v="270766"/>
    <n v="9.48"/>
    <n v="18001"/>
    <n v="-7.4972485467156139E-4"/>
    <n v="-203"/>
  </r>
  <r>
    <x v="36"/>
    <s v="Instagram"/>
    <n v="1957"/>
    <n v="234"/>
    <n v="222126"/>
    <n v="4.6100000000000003"/>
    <n v="3314"/>
    <n v="7.7568587198256845E-3"/>
    <n v="1723"/>
  </r>
  <r>
    <x v="36"/>
    <s v="Facebook"/>
    <n v="1294"/>
    <n v="382"/>
    <n v="309914"/>
    <n v="8.0299999999999994"/>
    <n v="23489"/>
    <n v="2.9427518601934728E-3"/>
    <n v="912"/>
  </r>
  <r>
    <x v="36"/>
    <s v="Twitter"/>
    <n v="1587"/>
    <n v="385"/>
    <n v="126582"/>
    <n v="6.99"/>
    <n v="42832"/>
    <n v="9.4958208908059605E-3"/>
    <n v="1202"/>
  </r>
  <r>
    <x v="36"/>
    <s v="YouTube"/>
    <n v="1707"/>
    <n v="263"/>
    <n v="485280"/>
    <n v="9.0299999999999994"/>
    <n v="24494"/>
    <n v="2.9756017144741179E-3"/>
    <n v="1444"/>
  </r>
  <r>
    <x v="37"/>
    <s v="Instagram"/>
    <n v="1138"/>
    <n v="173"/>
    <n v="453243"/>
    <n v="2.86"/>
    <n v="44097"/>
    <n v="2.1291007252180398E-3"/>
    <n v="965"/>
  </r>
  <r>
    <x v="37"/>
    <s v="Facebook"/>
    <n v="1895"/>
    <n v="305"/>
    <n v="104967"/>
    <n v="3.85"/>
    <n v="31853"/>
    <n v="1.5147617822744291E-2"/>
    <n v="1590"/>
  </r>
  <r>
    <x v="37"/>
    <s v="Twitter"/>
    <n v="362"/>
    <n v="399"/>
    <n v="145608"/>
    <n v="7.3"/>
    <n v="37636"/>
    <n v="-2.5410691720235154E-4"/>
    <n v="-37"/>
  </r>
  <r>
    <x v="37"/>
    <s v="YouTube"/>
    <n v="1662"/>
    <n v="487"/>
    <n v="105980"/>
    <n v="9.08"/>
    <n v="22996"/>
    <n v="1.1086997546706926E-2"/>
    <n v="1175"/>
  </r>
  <r>
    <x v="38"/>
    <s v="Instagram"/>
    <n v="1440"/>
    <n v="65"/>
    <n v="126524"/>
    <n v="4.34"/>
    <n v="49772"/>
    <n v="1.0867503398564699E-2"/>
    <n v="1375"/>
  </r>
  <r>
    <x v="38"/>
    <s v="Facebook"/>
    <n v="1884"/>
    <n v="177"/>
    <n v="230448"/>
    <n v="7.8"/>
    <n v="22713"/>
    <n v="7.4073109768798169E-3"/>
    <n v="1707"/>
  </r>
  <r>
    <x v="38"/>
    <s v="Twitter"/>
    <n v="861"/>
    <n v="153"/>
    <n v="317007"/>
    <n v="3.85"/>
    <n v="8718"/>
    <n v="2.2333891680625349E-3"/>
    <n v="708"/>
  </r>
  <r>
    <x v="38"/>
    <s v="YouTube"/>
    <n v="1063"/>
    <n v="47"/>
    <n v="464239"/>
    <n v="6.58"/>
    <n v="39031"/>
    <n v="2.1885278918832756E-3"/>
    <n v="1016"/>
  </r>
  <r>
    <x v="39"/>
    <s v="Instagram"/>
    <n v="1371"/>
    <n v="56"/>
    <n v="257579"/>
    <n v="8.6199999999999992"/>
    <n v="33799"/>
    <n v="5.1052298518124532E-3"/>
    <n v="1315"/>
  </r>
  <r>
    <x v="39"/>
    <s v="Facebook"/>
    <n v="345"/>
    <n v="464"/>
    <n v="366881"/>
    <n v="4.55"/>
    <n v="20553"/>
    <n v="-3.2435585380545735E-4"/>
    <n v="-119"/>
  </r>
  <r>
    <x v="39"/>
    <s v="Twitter"/>
    <n v="946"/>
    <n v="47"/>
    <n v="466575"/>
    <n v="8.33"/>
    <n v="10002"/>
    <n v="1.9268070513850934E-3"/>
    <n v="899"/>
  </r>
  <r>
    <x v="39"/>
    <s v="YouTube"/>
    <n v="510"/>
    <n v="195"/>
    <n v="224534"/>
    <n v="9.4"/>
    <n v="30987"/>
    <n v="1.4029055733207443E-3"/>
    <n v="315"/>
  </r>
  <r>
    <x v="40"/>
    <s v="Instagram"/>
    <n v="393"/>
    <n v="181"/>
    <n v="462142"/>
    <n v="7.23"/>
    <n v="6296"/>
    <n v="4.5873346287504706E-4"/>
    <n v="212"/>
  </r>
  <r>
    <x v="40"/>
    <s v="Facebook"/>
    <n v="1098"/>
    <n v="190"/>
    <n v="340842"/>
    <n v="9.39"/>
    <n v="21539"/>
    <n v="2.6639909400836752E-3"/>
    <n v="908"/>
  </r>
  <r>
    <x v="40"/>
    <s v="Twitter"/>
    <n v="1399"/>
    <n v="49"/>
    <n v="12471"/>
    <n v="5.12"/>
    <n v="14722"/>
    <n v="0.10825114265095021"/>
    <n v="1350"/>
  </r>
  <r>
    <x v="40"/>
    <s v="YouTube"/>
    <n v="1658"/>
    <n v="416"/>
    <n v="98397"/>
    <n v="6.11"/>
    <n v="11383"/>
    <n v="1.2622336046830695E-2"/>
    <n v="1242"/>
  </r>
  <r>
    <x v="41"/>
    <s v="Instagram"/>
    <n v="1102"/>
    <n v="422"/>
    <n v="410330"/>
    <n v="7.74"/>
    <n v="9480"/>
    <n v="1.6572027392586454E-3"/>
    <n v="680"/>
  </r>
  <r>
    <x v="41"/>
    <s v="Facebook"/>
    <n v="1358"/>
    <n v="242"/>
    <n v="342129"/>
    <n v="4.9400000000000004"/>
    <n v="29116"/>
    <n v="3.2619275185675578E-3"/>
    <n v="1116"/>
  </r>
  <r>
    <x v="41"/>
    <s v="Twitter"/>
    <n v="1077"/>
    <n v="216"/>
    <n v="12447"/>
    <n v="1.8"/>
    <n v="14068"/>
    <n v="6.9173294769824048E-2"/>
    <n v="861"/>
  </r>
  <r>
    <x v="41"/>
    <s v="YouTube"/>
    <n v="1596"/>
    <n v="211"/>
    <n v="17380"/>
    <n v="8.64"/>
    <n v="35801"/>
    <n v="7.9689298043728429E-2"/>
    <n v="1385"/>
  </r>
  <r>
    <x v="42"/>
    <s v="Instagram"/>
    <n v="490"/>
    <n v="29"/>
    <n v="364810"/>
    <n v="1.53"/>
    <n v="49077"/>
    <n v="1.2636715002329981E-3"/>
    <n v="461"/>
  </r>
  <r>
    <x v="42"/>
    <s v="Facebook"/>
    <n v="609"/>
    <n v="135"/>
    <n v="373606"/>
    <n v="8.52"/>
    <n v="21453"/>
    <n v="1.268716241173857E-3"/>
    <n v="474"/>
  </r>
  <r>
    <x v="42"/>
    <s v="Twitter"/>
    <n v="364"/>
    <n v="72"/>
    <n v="211090"/>
    <n v="5.53"/>
    <n v="21061"/>
    <n v="1.3832962243592781E-3"/>
    <n v="292"/>
  </r>
  <r>
    <x v="42"/>
    <s v="YouTube"/>
    <n v="442"/>
    <n v="53"/>
    <n v="441931"/>
    <n v="1.87"/>
    <n v="20059"/>
    <n v="8.8022790888170322E-4"/>
    <n v="389"/>
  </r>
  <r>
    <x v="43"/>
    <s v="Instagram"/>
    <n v="1033"/>
    <n v="392"/>
    <n v="282780"/>
    <n v="6.27"/>
    <n v="23140"/>
    <n v="2.2667798288422093E-3"/>
    <n v="641"/>
  </r>
  <r>
    <x v="43"/>
    <s v="Facebook"/>
    <n v="988"/>
    <n v="474"/>
    <n v="370070"/>
    <n v="9.4600000000000009"/>
    <n v="23461"/>
    <n v="1.3889264193260734E-3"/>
    <n v="514"/>
  </r>
  <r>
    <x v="43"/>
    <s v="Twitter"/>
    <n v="1946"/>
    <n v="270"/>
    <n v="198350"/>
    <n v="7.5"/>
    <n v="11805"/>
    <n v="8.4497101083942528E-3"/>
    <n v="1676"/>
  </r>
  <r>
    <x v="43"/>
    <s v="YouTube"/>
    <n v="1957"/>
    <n v="490"/>
    <n v="435726"/>
    <n v="4.7300000000000004"/>
    <n v="15969"/>
    <n v="3.3667947287974553E-3"/>
    <n v="1467"/>
  </r>
  <r>
    <x v="44"/>
    <s v="Instagram"/>
    <n v="559"/>
    <n v="392"/>
    <n v="78789"/>
    <n v="3.19"/>
    <n v="2436"/>
    <n v="2.1195852212872357E-3"/>
    <n v="167"/>
  </r>
  <r>
    <x v="44"/>
    <s v="Facebook"/>
    <n v="1307"/>
    <n v="278"/>
    <n v="98596"/>
    <n v="2.4900000000000002"/>
    <n v="47603"/>
    <n v="1.0436528865268368E-2"/>
    <n v="1029"/>
  </r>
  <r>
    <x v="44"/>
    <s v="Twitter"/>
    <n v="1432"/>
    <n v="425"/>
    <n v="29589"/>
    <n v="4.5"/>
    <n v="42964"/>
    <n v="3.4032917638311531E-2"/>
    <n v="1007"/>
  </r>
  <r>
    <x v="44"/>
    <s v="YouTube"/>
    <n v="623"/>
    <n v="414"/>
    <n v="290354"/>
    <n v="6.49"/>
    <n v="39923"/>
    <n v="7.1981098934404211E-4"/>
    <n v="209"/>
  </r>
  <r>
    <x v="45"/>
    <s v="Instagram"/>
    <n v="198"/>
    <n v="358"/>
    <n v="66682"/>
    <n v="6.73"/>
    <n v="2293"/>
    <n v="-2.3994481269308059E-3"/>
    <n v="-160"/>
  </r>
  <r>
    <x v="45"/>
    <s v="Facebook"/>
    <n v="198"/>
    <n v="373"/>
    <n v="70707"/>
    <n v="4.83"/>
    <n v="25920"/>
    <n v="-2.4750024750024749E-3"/>
    <n v="-175"/>
  </r>
  <r>
    <x v="45"/>
    <s v="Twitter"/>
    <n v="353"/>
    <n v="300"/>
    <n v="142507"/>
    <n v="5.3"/>
    <n v="11035"/>
    <n v="3.7191155522184875E-4"/>
    <n v="53"/>
  </r>
  <r>
    <x v="45"/>
    <s v="YouTube"/>
    <n v="520"/>
    <n v="375"/>
    <n v="369525"/>
    <n v="6.54"/>
    <n v="20733"/>
    <n v="3.9239564305527366E-4"/>
    <n v="145"/>
  </r>
  <r>
    <x v="46"/>
    <s v="Instagram"/>
    <n v="961"/>
    <n v="358"/>
    <n v="62942"/>
    <n v="6.8"/>
    <n v="18693"/>
    <n v="9.5802484827301332E-3"/>
    <n v="603"/>
  </r>
  <r>
    <x v="46"/>
    <s v="Facebook"/>
    <n v="1375"/>
    <n v="330"/>
    <n v="377382"/>
    <n v="2.6"/>
    <n v="7875"/>
    <n v="2.7690774864725927E-3"/>
    <n v="1045"/>
  </r>
  <r>
    <x v="46"/>
    <s v="Twitter"/>
    <n v="1147"/>
    <n v="388"/>
    <n v="333851"/>
    <n v="2.44"/>
    <n v="8471"/>
    <n v="2.2734693021737242E-3"/>
    <n v="759"/>
  </r>
  <r>
    <x v="46"/>
    <s v="YouTube"/>
    <n v="1707"/>
    <n v="74"/>
    <n v="270958"/>
    <n v="3.09"/>
    <n v="14090"/>
    <n v="6.0267642955734836E-3"/>
    <n v="1633"/>
  </r>
  <r>
    <x v="47"/>
    <s v="Instagram"/>
    <n v="1693"/>
    <n v="154"/>
    <n v="445944"/>
    <n v="5.69"/>
    <n v="14216"/>
    <n v="3.4511059684624078E-3"/>
    <n v="1539"/>
  </r>
  <r>
    <x v="47"/>
    <s v="Facebook"/>
    <n v="833"/>
    <n v="380"/>
    <n v="224830"/>
    <n v="3.86"/>
    <n v="3582"/>
    <n v="2.014855668727483E-3"/>
    <n v="453"/>
  </r>
  <r>
    <x v="47"/>
    <s v="Twitter"/>
    <n v="1222"/>
    <n v="274"/>
    <n v="487289"/>
    <n v="3.16"/>
    <n v="32500"/>
    <n v="1.9454574184929272E-3"/>
    <n v="948"/>
  </r>
  <r>
    <x v="47"/>
    <s v="YouTube"/>
    <n v="777"/>
    <n v="140"/>
    <n v="11435"/>
    <n v="1.6"/>
    <n v="6832"/>
    <n v="5.5706165282028861E-2"/>
    <n v="637"/>
  </r>
  <r>
    <x v="48"/>
    <s v="Instagram"/>
    <n v="1957"/>
    <n v="76"/>
    <n v="447902"/>
    <n v="6.09"/>
    <n v="33381"/>
    <n v="4.1995793722733989E-3"/>
    <n v="1881"/>
  </r>
  <r>
    <x v="48"/>
    <s v="Facebook"/>
    <n v="405"/>
    <n v="66"/>
    <n v="418696"/>
    <n v="5.59"/>
    <n v="48419"/>
    <n v="8.0965664826031301E-4"/>
    <n v="339"/>
  </r>
  <r>
    <x v="48"/>
    <s v="Twitter"/>
    <n v="1581"/>
    <n v="71"/>
    <n v="484364"/>
    <n v="3.55"/>
    <n v="16149"/>
    <n v="3.1174901520344203E-3"/>
    <n v="1510"/>
  </r>
  <r>
    <x v="48"/>
    <s v="YouTube"/>
    <n v="1035"/>
    <n v="171"/>
    <n v="148477"/>
    <n v="5.21"/>
    <n v="7541"/>
    <n v="5.8190830903102836E-3"/>
    <n v="864"/>
  </r>
  <r>
    <x v="49"/>
    <s v="Instagram"/>
    <n v="1765"/>
    <n v="109"/>
    <n v="468301"/>
    <n v="1.82"/>
    <n v="20042"/>
    <n v="3.5361871958419907E-3"/>
    <n v="1656"/>
  </r>
  <r>
    <x v="49"/>
    <s v="Facebook"/>
    <n v="837"/>
    <n v="430"/>
    <n v="364820"/>
    <n v="4"/>
    <n v="49400"/>
    <n v="1.1156186612576065E-3"/>
    <n v="407"/>
  </r>
  <r>
    <x v="49"/>
    <s v="Twitter"/>
    <n v="337"/>
    <n v="68"/>
    <n v="456298"/>
    <n v="7.57"/>
    <n v="4007"/>
    <n v="5.8952701962314107E-4"/>
    <n v="269"/>
  </r>
  <r>
    <x v="49"/>
    <s v="YouTube"/>
    <n v="119"/>
    <n v="456"/>
    <n v="82558"/>
    <n v="6.81"/>
    <n v="12174"/>
    <n v="-4.0819787301048958E-3"/>
    <n v="-3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165126-AC79-41F4-A2E3-66AF0CBFCE9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3:C8" firstHeaderRow="1" firstDataRow="1" firstDataCol="1"/>
  <pivotFields count="14"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ngagement Rate" fld="13" subtotal="average" baseField="1" baseItem="0" numFmtId="2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AFB02-3712-41C3-8FB3-2549579FBF26}" name="PivotTable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6:G12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2"/>
        <item x="4"/>
        <item x="1"/>
        <item x="3"/>
        <item x="5"/>
        <item x="0"/>
        <item t="default"/>
      </items>
    </pivotField>
    <pivotField showAll="0"/>
    <pivotField numFmtId="2" showAll="0"/>
    <pivotField numFmtId="1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Average of Clicks" fld="9" subtotal="average" baseField="1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outline="1" outlineData="1" multipleFieldFilters="0">
  <location ref="A6:D22" firstHeaderRow="0" firstDataRow="1" firstDataCol="1"/>
  <pivotFields count="15">
    <pivotField showAll="0"/>
    <pivotField axis="axisRow" showAll="0">
      <items count="5">
        <item x="3"/>
        <item x="2"/>
        <item sd="0" x="0"/>
        <item sd="0" x="1"/>
        <item t="default"/>
      </items>
    </pivotField>
    <pivotField numFmtId="14"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>
      <items count="294">
        <item x="60"/>
        <item x="257"/>
        <item x="137"/>
        <item x="213"/>
        <item x="56"/>
        <item x="172"/>
        <item x="169"/>
        <item x="67"/>
        <item x="220"/>
        <item x="225"/>
        <item x="204"/>
        <item x="69"/>
        <item x="85"/>
        <item x="132"/>
        <item x="177"/>
        <item x="239"/>
        <item x="26"/>
        <item x="29"/>
        <item x="39"/>
        <item x="102"/>
        <item x="207"/>
        <item x="252"/>
        <item x="276"/>
        <item x="217"/>
        <item x="175"/>
        <item x="79"/>
        <item x="119"/>
        <item x="147"/>
        <item x="116"/>
        <item x="195"/>
        <item x="51"/>
        <item x="242"/>
        <item x="284"/>
        <item x="241"/>
        <item x="58"/>
        <item x="189"/>
        <item x="233"/>
        <item x="200"/>
        <item x="50"/>
        <item x="75"/>
        <item x="148"/>
        <item x="99"/>
        <item x="165"/>
        <item x="192"/>
        <item x="18"/>
        <item x="160"/>
        <item x="154"/>
        <item x="80"/>
        <item x="44"/>
        <item x="73"/>
        <item x="279"/>
        <item x="12"/>
        <item x="186"/>
        <item x="212"/>
        <item x="255"/>
        <item x="53"/>
        <item x="93"/>
        <item x="74"/>
        <item x="229"/>
        <item x="88"/>
        <item x="227"/>
        <item x="66"/>
        <item x="167"/>
        <item x="244"/>
        <item x="31"/>
        <item x="224"/>
        <item x="90"/>
        <item x="84"/>
        <item x="0"/>
        <item x="274"/>
        <item x="209"/>
        <item x="40"/>
        <item x="268"/>
        <item x="20"/>
        <item x="95"/>
        <item x="21"/>
        <item x="181"/>
        <item x="32"/>
        <item x="72"/>
        <item x="52"/>
        <item x="143"/>
        <item x="219"/>
        <item x="152"/>
        <item x="97"/>
        <item x="10"/>
        <item x="190"/>
        <item x="215"/>
        <item x="78"/>
        <item x="81"/>
        <item x="71"/>
        <item x="211"/>
        <item x="196"/>
        <item x="258"/>
        <item x="139"/>
        <item x="63"/>
        <item x="11"/>
        <item x="126"/>
        <item x="46"/>
        <item x="287"/>
        <item x="109"/>
        <item x="184"/>
        <item x="115"/>
        <item x="136"/>
        <item x="127"/>
        <item x="25"/>
        <item x="245"/>
        <item x="77"/>
        <item x="282"/>
        <item x="153"/>
        <item x="249"/>
        <item x="123"/>
        <item x="47"/>
        <item x="289"/>
        <item x="41"/>
        <item x="57"/>
        <item x="49"/>
        <item x="86"/>
        <item x="198"/>
        <item x="30"/>
        <item x="149"/>
        <item x="134"/>
        <item x="42"/>
        <item x="226"/>
        <item x="3"/>
        <item x="162"/>
        <item x="112"/>
        <item x="193"/>
        <item x="68"/>
        <item x="27"/>
        <item x="291"/>
        <item x="256"/>
        <item x="65"/>
        <item x="285"/>
        <item x="91"/>
        <item x="247"/>
        <item x="206"/>
        <item x="45"/>
        <item x="108"/>
        <item x="182"/>
        <item x="133"/>
        <item x="281"/>
        <item x="48"/>
        <item x="2"/>
        <item x="55"/>
        <item x="62"/>
        <item x="124"/>
        <item x="5"/>
        <item x="54"/>
        <item x="202"/>
        <item x="17"/>
        <item x="131"/>
        <item x="24"/>
        <item x="35"/>
        <item x="140"/>
        <item x="76"/>
        <item x="166"/>
        <item x="250"/>
        <item x="122"/>
        <item x="28"/>
        <item x="171"/>
        <item x="23"/>
        <item x="130"/>
        <item x="36"/>
        <item x="203"/>
        <item x="273"/>
        <item x="135"/>
        <item x="92"/>
        <item x="228"/>
        <item x="178"/>
        <item x="159"/>
        <item x="141"/>
        <item x="216"/>
        <item x="150"/>
        <item x="183"/>
        <item x="275"/>
        <item x="43"/>
        <item x="278"/>
        <item x="83"/>
        <item x="156"/>
        <item x="117"/>
        <item x="288"/>
        <item x="15"/>
        <item x="107"/>
        <item x="267"/>
        <item x="4"/>
        <item x="145"/>
        <item x="37"/>
        <item x="264"/>
        <item x="164"/>
        <item x="236"/>
        <item x="251"/>
        <item x="266"/>
        <item x="106"/>
        <item x="101"/>
        <item x="223"/>
        <item x="100"/>
        <item x="113"/>
        <item x="174"/>
        <item x="194"/>
        <item x="128"/>
        <item x="248"/>
        <item x="230"/>
        <item x="197"/>
        <item x="263"/>
        <item x="33"/>
        <item x="8"/>
        <item x="246"/>
        <item x="173"/>
        <item x="170"/>
        <item x="89"/>
        <item x="163"/>
        <item x="120"/>
        <item x="243"/>
        <item x="199"/>
        <item x="168"/>
        <item x="6"/>
        <item x="87"/>
        <item x="205"/>
        <item x="14"/>
        <item x="7"/>
        <item x="240"/>
        <item x="22"/>
        <item x="111"/>
        <item x="277"/>
        <item x="105"/>
        <item x="1"/>
        <item x="70"/>
        <item x="142"/>
        <item x="238"/>
        <item x="121"/>
        <item x="96"/>
        <item x="82"/>
        <item x="259"/>
        <item x="260"/>
        <item x="232"/>
        <item x="129"/>
        <item x="269"/>
        <item x="9"/>
        <item x="13"/>
        <item x="201"/>
        <item x="272"/>
        <item x="185"/>
        <item x="180"/>
        <item x="144"/>
        <item x="290"/>
        <item x="234"/>
        <item x="253"/>
        <item x="188"/>
        <item x="118"/>
        <item x="110"/>
        <item x="16"/>
        <item x="98"/>
        <item x="214"/>
        <item x="292"/>
        <item x="157"/>
        <item x="61"/>
        <item x="270"/>
        <item x="34"/>
        <item x="179"/>
        <item x="114"/>
        <item x="262"/>
        <item x="261"/>
        <item x="210"/>
        <item x="103"/>
        <item x="237"/>
        <item x="283"/>
        <item x="155"/>
        <item x="218"/>
        <item x="176"/>
        <item x="64"/>
        <item x="231"/>
        <item x="286"/>
        <item x="94"/>
        <item x="38"/>
        <item x="235"/>
        <item x="161"/>
        <item x="151"/>
        <item x="280"/>
        <item x="191"/>
        <item x="222"/>
        <item x="146"/>
        <item x="221"/>
        <item x="104"/>
        <item x="19"/>
        <item x="125"/>
        <item x="254"/>
        <item x="187"/>
        <item x="208"/>
        <item x="59"/>
        <item x="271"/>
        <item x="138"/>
        <item x="158"/>
        <item x="265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3"/>
  </rowFields>
  <rowItems count="16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6A595-294B-4CA8-8465-A3515141F05F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5:J23" firstHeaderRow="1" firstDataRow="1" firstDataCol="1"/>
  <pivotFields count="15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4"/>
        <item x="1"/>
        <item x="3"/>
        <item x="5"/>
        <item x="0"/>
        <item t="default"/>
      </items>
    </pivotField>
    <pivotField axis="axisRow" showAll="0" sortType="descending">
      <items count="6">
        <item x="1"/>
        <item sd="0" x="4"/>
        <item x="3"/>
        <item sd="0" x="2"/>
        <item sd="0" x="0"/>
        <item t="default"/>
      </items>
    </pivotField>
    <pivotField numFmtId="2" showAll="0"/>
    <pivotField dataField="1" numFmtId="1" showAll="0"/>
  </pivotFields>
  <rowFields count="2">
    <field x="12"/>
    <field x="11"/>
  </rowFields>
  <rowItems count="18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>
      <x v="4"/>
    </i>
    <i t="grand">
      <x/>
    </i>
  </rowItems>
  <colItems count="1">
    <i/>
  </colItems>
  <dataFields count="1">
    <dataField name="Sum of Engagement" fld="14" baseField="11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6657D-F5D7-4429-82CC-39C7957E4CB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L3:M8" firstHeaderRow="1" firstDataRow="1" firstDataCol="1"/>
  <pivotFields count="9"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numFmtId="1" showAll="0"/>
    <pivotField dataField="1" numFmtId="10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Net_FollowerGrowth_Rate" fld="7" subtotal="average" baseField="1" baseItem="0" numFmtId="10"/>
  </dataField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70F73-214F-43B2-8BCC-FE84D6E1CBDE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9" firstHeaderRow="1" firstDataRow="2" firstDataCol="1"/>
  <pivotFields count="15"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/>
    <pivotField axis="axisCol" showAll="0">
      <items count="7">
        <item x="4"/>
        <item x="3"/>
        <item x="5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Engagement" fld="14" subtotal="average" baseField="1" baseItem="1" numFmtId="1"/>
  </dataFields>
  <formats count="4">
    <format dxfId="56">
      <pivotArea dataOnly="0" labelOnly="1" fieldPosition="0">
        <references count="1">
          <reference field="3" count="1">
            <x v="0"/>
          </reference>
        </references>
      </pivotArea>
    </format>
    <format dxfId="55">
      <pivotArea outline="0" collapsedLevelsAreSubtotals="1" fieldPosition="0"/>
    </format>
    <format dxfId="54">
      <pivotArea dataOnly="0" labelOnly="1" fieldPosition="0">
        <references count="1">
          <reference field="1" count="0"/>
        </references>
      </pivotArea>
    </format>
    <format dxfId="5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DEECD-D0EB-4903-BA53-4F0AB82AD0A6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8" firstHeaderRow="1" firstDataRow="1" firstDataCol="1"/>
  <pivotFields count="15"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ngagement" fld="14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6B1A7-50C2-4C4B-987B-1BDB204C4CFC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8" firstHeaderRow="1" firstDataRow="1" firstDataCol="1"/>
  <pivotFields count="8"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dataField="1" numFmtId="1" showAll="0"/>
    <pivotField numFmtId="1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d_Spend" fld="6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B4BC5-DFDF-428A-881C-32264730690B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L4:R9" firstHeaderRow="1" firstDataRow="2" firstDataCol="1"/>
  <pivotFields count="15"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/>
    <pivotField axis="axisCol" showAll="0">
      <items count="7">
        <item x="4"/>
        <item x="3"/>
        <item x="5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3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Average of Engagement" fld="14" subtotal="average" baseField="1" baseItem="1" numFmtId="1"/>
  </dataFields>
  <formats count="3">
    <format dxfId="52">
      <pivotArea dataOnly="0" labelOnly="1" fieldPosition="0">
        <references count="1">
          <reference field="3" count="1">
            <x v="0"/>
          </reference>
        </references>
      </pivotArea>
    </format>
    <format dxfId="51">
      <pivotArea outline="0" collapsedLevelsAreSubtotals="1" fieldPosition="0"/>
    </format>
    <format dxfId="5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095AA-5AB4-4318-900A-6539C98177F0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5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2"/>
        <item x="4"/>
        <item x="1"/>
        <item x="3"/>
        <item x="5"/>
        <item x="0"/>
        <item t="default"/>
      </items>
    </pivotField>
    <pivotField showAll="0"/>
    <pivotField numFmtId="2" showAll="0"/>
    <pivotField numFmtId="1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Hashtags Used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4EAC9-A1CD-4F6A-A191-7EA8A09C2F5D}" name="PivotTable1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E3:F61" firstHeaderRow="1" firstDataRow="1" firstDataCol="1"/>
  <pivotFields count="15">
    <pivotField showAll="0"/>
    <pivotField showAll="0"/>
    <pivotField numFmtId="14" showAll="0"/>
    <pivotField showAll="0"/>
    <pivotField axis="axisRow" showAll="0" sortType="descending">
      <items count="25">
        <item x="14"/>
        <item sd="0" x="10"/>
        <item sd="0" x="18"/>
        <item sd="0" x="9"/>
        <item sd="0" x="5"/>
        <item sd="0" x="3"/>
        <item sd="0" x="16"/>
        <item sd="0" x="8"/>
        <item x="17"/>
        <item sd="0" x="11"/>
        <item sd="0" x="13"/>
        <item sd="0" x="23"/>
        <item sd="0" x="15"/>
        <item sd="0" x="7"/>
        <item sd="0" x="19"/>
        <item x="1"/>
        <item sd="0" x="22"/>
        <item sd="0" x="12"/>
        <item sd="0" x="6"/>
        <item x="2"/>
        <item x="21"/>
        <item x="20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4"/>
        <item x="1"/>
        <item x="3"/>
        <item x="5"/>
        <item x="0"/>
        <item t="default"/>
      </items>
    </pivotField>
    <pivotField showAll="0"/>
    <pivotField numFmtId="2" showAll="0"/>
    <pivotField dataField="1" numFmtId="1" showAll="0"/>
  </pivotFields>
  <rowFields count="2">
    <field x="4"/>
    <field x="11"/>
  </rowFields>
  <rowItems count="58">
    <i>
      <x v="15"/>
    </i>
    <i r="1">
      <x v="2"/>
    </i>
    <i r="1">
      <x v="3"/>
    </i>
    <i r="1">
      <x v="5"/>
    </i>
    <i>
      <x v="19"/>
    </i>
    <i r="1">
      <x/>
    </i>
    <i r="1">
      <x v="1"/>
    </i>
    <i r="1">
      <x v="2"/>
    </i>
    <i r="1">
      <x v="3"/>
    </i>
    <i r="1">
      <x v="5"/>
    </i>
    <i>
      <x v="23"/>
    </i>
    <i r="1">
      <x/>
    </i>
    <i r="1">
      <x v="2"/>
    </i>
    <i r="1">
      <x v="3"/>
    </i>
    <i r="1">
      <x v="5"/>
    </i>
    <i>
      <x v="8"/>
    </i>
    <i r="1">
      <x v="1"/>
    </i>
    <i r="1">
      <x v="2"/>
    </i>
    <i r="1">
      <x v="3"/>
    </i>
    <i r="1">
      <x v="4"/>
    </i>
    <i r="1">
      <x v="5"/>
    </i>
    <i>
      <x/>
    </i>
    <i r="1">
      <x v="2"/>
    </i>
    <i r="1">
      <x v="3"/>
    </i>
    <i r="1">
      <x v="5"/>
    </i>
    <i>
      <x v="5"/>
    </i>
    <i>
      <x v="18"/>
    </i>
    <i>
      <x v="20"/>
    </i>
    <i r="1">
      <x/>
    </i>
    <i r="1">
      <x v="2"/>
    </i>
    <i r="1">
      <x v="3"/>
    </i>
    <i r="1">
      <x v="5"/>
    </i>
    <i>
      <x v="4"/>
    </i>
    <i>
      <x v="13"/>
    </i>
    <i>
      <x v="2"/>
    </i>
    <i>
      <x v="11"/>
    </i>
    <i>
      <x v="12"/>
    </i>
    <i>
      <x v="22"/>
    </i>
    <i r="1">
      <x/>
    </i>
    <i r="1">
      <x v="2"/>
    </i>
    <i r="1">
      <x v="3"/>
    </i>
    <i r="1">
      <x v="4"/>
    </i>
    <i r="1">
      <x v="5"/>
    </i>
    <i>
      <x v="7"/>
    </i>
    <i>
      <x v="9"/>
    </i>
    <i>
      <x v="17"/>
    </i>
    <i>
      <x v="14"/>
    </i>
    <i>
      <x v="1"/>
    </i>
    <i>
      <x v="10"/>
    </i>
    <i>
      <x v="3"/>
    </i>
    <i>
      <x v="6"/>
    </i>
    <i>
      <x v="16"/>
    </i>
    <i>
      <x v="21"/>
    </i>
    <i r="1">
      <x/>
    </i>
    <i r="1">
      <x v="2"/>
    </i>
    <i r="1">
      <x v="3"/>
    </i>
    <i r="1">
      <x v="5"/>
    </i>
    <i t="grand">
      <x/>
    </i>
  </rowItems>
  <colItems count="1">
    <i/>
  </colItems>
  <dataFields count="1">
    <dataField name="Average of Engagement" fld="14" subtotal="average" baseField="4" baseItem="0" numFmtId="1"/>
  </dataField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B4160-EED2-4685-908F-474BDFC522F4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E20" firstHeaderRow="0" firstDataRow="1" firstDataCol="1"/>
  <pivotFields count="15">
    <pivotField showAll="0"/>
    <pivotField axis="axisRow" showAll="0">
      <items count="5">
        <item x="3"/>
        <item x="2"/>
        <item sd="0" x="0"/>
        <item sd="0" x="1"/>
        <item t="default"/>
      </items>
    </pivotField>
    <pivotField numFmtId="14" showAll="0"/>
    <pivotField axis="axisRow" showAll="0">
      <items count="7">
        <item x="4"/>
        <item x="3"/>
        <item x="5"/>
        <item x="1"/>
        <item x="2"/>
        <item x="0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numFmtId="2" showAll="0"/>
    <pivotField numFmtId="1" showAll="0"/>
  </pivotFields>
  <rowFields count="2">
    <field x="1"/>
    <field x="3"/>
  </rowFields>
  <rowItems count="17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Likes" fld="5" subtotal="average" baseField="1" baseItem="0" numFmtId="1"/>
    <dataField name="Average of Shares" fld="6" subtotal="average" baseField="1" baseItem="0" numFmtId="1"/>
    <dataField name="Average of Comments" fld="7" subtotal="average" baseField="1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82877-FFFE-485D-A5A1-560EA05D5F56}" name="PivotTable1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H8" firstHeaderRow="0" firstDataRow="1" firstDataCol="1"/>
  <pivotFields count="15"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6">
        <item x="0"/>
        <item x="2"/>
        <item x="3"/>
        <item h="1" x="4"/>
        <item x="1"/>
        <item t="default"/>
      </items>
    </pivotField>
    <pivotField numFmtId="2" showAll="0"/>
    <pivotField numFmtId="1" showAll="0"/>
  </pivotFields>
  <rowFields count="1">
    <field x="12"/>
  </rowFields>
  <rowItems count="5">
    <i>
      <x/>
    </i>
    <i>
      <x v="1"/>
    </i>
    <i>
      <x v="2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mpressions" fld="8" baseField="0" baseItem="0"/>
    <dataField name="Sum of Likes" fld="5" baseField="0" baseItem="0"/>
    <dataField name="Sum of Clicks" fld="10" baseField="0" baseItem="0"/>
    <dataField name="Average of Clicks" fld="10" subtotal="average" baseField="12" baseItem="0" numFmtId="164"/>
    <dataField name="Average of Likes" fld="5" subtotal="average" baseField="12" baseItem="0" numFmtId="164"/>
    <dataField name="Average of Impressions" fld="8" subtotal="average" baseField="12" baseItem="1" numFmtId="164"/>
  </dataFields>
  <formats count="1">
    <format dxfId="3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53F42-8F6B-45CC-B400-1869D1C04ED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eek_Start_date">
  <location ref="J23:K74" firstHeaderRow="1" firstDataRow="1" firstDataCol="1"/>
  <pivotFields count="12">
    <pivotField axis="axisRow" numFmtId="14" showAll="0" sortType="descending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0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51">
    <i>
      <x v="30"/>
    </i>
    <i>
      <x v="36"/>
    </i>
    <i>
      <x v="28"/>
    </i>
    <i>
      <x v="38"/>
    </i>
    <i>
      <x v="26"/>
    </i>
    <i>
      <x v="27"/>
    </i>
    <i>
      <x v="48"/>
    </i>
    <i>
      <x v="22"/>
    </i>
    <i>
      <x v="14"/>
    </i>
    <i>
      <x v="43"/>
    </i>
    <i>
      <x v="41"/>
    </i>
    <i>
      <x v="46"/>
    </i>
    <i>
      <x v="25"/>
    </i>
    <i>
      <x v="29"/>
    </i>
    <i>
      <x v="2"/>
    </i>
    <i>
      <x v="18"/>
    </i>
    <i>
      <x v="10"/>
    </i>
    <i>
      <x v="40"/>
    </i>
    <i>
      <x v="37"/>
    </i>
    <i>
      <x v="33"/>
    </i>
    <i>
      <x v="47"/>
    </i>
    <i>
      <x v="31"/>
    </i>
    <i>
      <x/>
    </i>
    <i>
      <x v="34"/>
    </i>
    <i>
      <x v="16"/>
    </i>
    <i>
      <x v="17"/>
    </i>
    <i>
      <x v="5"/>
    </i>
    <i>
      <x v="3"/>
    </i>
    <i>
      <x v="11"/>
    </i>
    <i>
      <x v="1"/>
    </i>
    <i>
      <x v="12"/>
    </i>
    <i>
      <x v="13"/>
    </i>
    <i>
      <x v="20"/>
    </i>
    <i>
      <x v="32"/>
    </i>
    <i>
      <x v="7"/>
    </i>
    <i>
      <x v="21"/>
    </i>
    <i>
      <x v="44"/>
    </i>
    <i>
      <x v="39"/>
    </i>
    <i>
      <x v="23"/>
    </i>
    <i>
      <x v="6"/>
    </i>
    <i>
      <x v="35"/>
    </i>
    <i>
      <x v="8"/>
    </i>
    <i>
      <x v="49"/>
    </i>
    <i>
      <x v="19"/>
    </i>
    <i>
      <x v="42"/>
    </i>
    <i>
      <x v="15"/>
    </i>
    <i>
      <x v="4"/>
    </i>
    <i>
      <x v="9"/>
    </i>
    <i>
      <x v="24"/>
    </i>
    <i>
      <x v="45"/>
    </i>
    <i t="grand">
      <x/>
    </i>
  </rowItems>
  <colItems count="1">
    <i/>
  </colItems>
  <dataFields count="1">
    <dataField name="Sum of Follower_Gain" fld="8" baseField="0" baseItem="0"/>
  </dataFields>
  <formats count="8">
    <format dxfId="8">
      <pivotArea type="all" dataOnly="0" outline="0" fieldPosition="0"/>
    </format>
    <format dxfId="7">
      <pivotArea outline="0" collapsedLevelsAreSubtotals="1" fieldPosition="0"/>
    </format>
    <format dxfId="6">
      <pivotArea field="0" type="button" dataOnly="0" labelOnly="1" outline="0" axis="axisRow" fieldPosition="0"/>
    </format>
    <format dxfId="5">
      <pivotArea dataOnly="0" labelOnly="1" fieldPosition="0">
        <references count="1">
          <reference field="0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  <format dxfId="2">
      <pivotArea collapsedLevelsAreSubtotals="1" fieldPosition="0">
        <references count="1">
          <reference field="0" count="1">
            <x v="30"/>
          </reference>
        </references>
      </pivotArea>
    </format>
    <format dxfId="1">
      <pivotArea dataOnly="0" labelOnly="1" fieldPosition="0">
        <references count="1">
          <reference field="0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4B8B1-3A60-486D-9D06-AC64E1BE83EF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F55" firstHeaderRow="1" firstDataRow="2" firstDataCol="1"/>
  <pivotFields count="9"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numFmtId="1" showAll="0"/>
    <pivotField numFmtId="10" showAll="0"/>
    <pivotField dataField="1"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Follower_Gain" fld="8" baseField="0" baseItem="0"/>
  </dataFields>
  <chartFormats count="4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A3A69D-E45A-45FF-A102-00215E0705CB}" autoFormatId="16" applyNumberFormats="0" applyBorderFormats="0" applyFontFormats="0" applyPatternFormats="0" applyAlignmentFormats="0" applyWidthHeightFormats="0">
  <queryTableRefresh nextId="16" unboundColumnsRight="2">
    <queryTableFields count="15">
      <queryTableField id="1" name="Post ID" tableColumnId="14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  <queryTableField id="14" dataBound="0" tableColumnId="15"/>
      <queryTableField id="15" dataBound="0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0C8704C-9F71-4FBD-9A5A-570215AB2DF0}" autoFormatId="16" applyNumberFormats="0" applyBorderFormats="0" applyFontFormats="0" applyPatternFormats="0" applyAlignmentFormats="0" applyWidthHeightFormats="0">
  <queryTableRefresh nextId="10">
    <queryTableFields count="9">
      <queryTableField id="1" name="Week_Start_Date" tableColumnId="10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8" name="Net_FollowerGrowth_Rate" tableColumnId="8"/>
      <queryTableField id="9" name="Follower_Gai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3A51D1-6A13-46D4-93EF-1DF515B865B8}" name="Posts_2" displayName="Posts_2" ref="A1:O340" tableType="queryTable" totalsRowShown="0">
  <autoFilter ref="A1:O340" xr:uid="{A43A51D1-6A13-46D4-93EF-1DF515B865B8}"/>
  <sortState xmlns:xlrd2="http://schemas.microsoft.com/office/spreadsheetml/2017/richdata2" ref="A2:O340">
    <sortCondition descending="1" ref="O1:O340"/>
  </sortState>
  <tableColumns count="15">
    <tableColumn id="14" xr3:uid="{2C3D94DD-27F8-442C-AB40-98DA8E55EA1B}" uniqueName="14" name="Post ID" queryTableFieldId="1" dataDxfId="69"/>
    <tableColumn id="2" xr3:uid="{68FAF4C8-1D78-4F14-870A-24104F7A77AE}" uniqueName="2" name="Platform" queryTableFieldId="2" dataDxfId="68"/>
    <tableColumn id="3" xr3:uid="{54065365-1D63-4D2A-A222-B84AAB378581}" uniqueName="3" name="Date" queryTableFieldId="3" dataDxfId="67"/>
    <tableColumn id="4" xr3:uid="{4516005A-F729-4972-8A49-5C0584F7C994}" uniqueName="4" name="Content Type" queryTableFieldId="4" dataDxfId="66"/>
    <tableColumn id="5" xr3:uid="{224E5D08-F90E-4F87-8295-1CC3733BA5E5}" uniqueName="5" name="Post Text" queryTableFieldId="5" dataDxfId="65"/>
    <tableColumn id="6" xr3:uid="{7EE48619-DF4E-4A73-9512-4410C285356C}" uniqueName="6" name="Likes" queryTableFieldId="6"/>
    <tableColumn id="7" xr3:uid="{0DEF5B77-A1A1-4014-8EFF-214844C9673B}" uniqueName="7" name="Shares" queryTableFieldId="7"/>
    <tableColumn id="8" xr3:uid="{C571DCCA-6FE2-4ACE-B868-F9F8335F4D20}" uniqueName="8" name="Comments" queryTableFieldId="8"/>
    <tableColumn id="9" xr3:uid="{34578FA3-2AB7-4726-AF49-B2EDEEFEC205}" uniqueName="9" name="Impressions" queryTableFieldId="9"/>
    <tableColumn id="10" xr3:uid="{6AE6AF64-09E2-43C8-AC68-3338C124D5D3}" uniqueName="10" name="Reach" queryTableFieldId="10"/>
    <tableColumn id="11" xr3:uid="{084BECD8-D557-4A8A-B206-DE9F0118B9F6}" uniqueName="11" name="Clicks" queryTableFieldId="11"/>
    <tableColumn id="12" xr3:uid="{EBD003BD-4471-4D26-B7D2-2FDD3CD43A9A}" uniqueName="12" name="Hashtags Used" queryTableFieldId="12" dataDxfId="64"/>
    <tableColumn id="13" xr3:uid="{17043801-3B15-4F39-B5F8-78716345AB7C}" uniqueName="13" name="Campaign_Name" queryTableFieldId="13" dataDxfId="63"/>
    <tableColumn id="15" xr3:uid="{64F6797B-FF0D-41A3-B155-7B3AD9CD185F}" uniqueName="15" name="Engagement Rate" queryTableFieldId="14" dataDxfId="62">
      <calculatedColumnFormula>SUM(F:H)/I:I</calculatedColumnFormula>
    </tableColumn>
    <tableColumn id="1" xr3:uid="{69D78605-CD22-4BF5-8C5D-D2FF47F9CD98}" uniqueName="1" name="Engagement" queryTableFieldId="15" dataDxfId="61">
      <calculatedColumnFormula>SUM(Posts_2[[#This Row],[Likes]:[Comments]])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741129-B832-46E9-ACAA-7C298179B52C}" name="Table5_2" displayName="Table5_2" ref="A1:I201" tableType="queryTable" totalsRowShown="0">
  <autoFilter ref="A1:I201" xr:uid="{B3741129-B832-46E9-ACAA-7C298179B52C}"/>
  <tableColumns count="9">
    <tableColumn id="10" xr3:uid="{094D89F9-5D6D-4289-ABE7-B3A4F12AE2D2}" uniqueName="10" name="Week_Start_Date" queryTableFieldId="1" dataDxfId="60"/>
    <tableColumn id="2" xr3:uid="{A92113C6-5D2C-40A8-A47C-C20F36E75881}" uniqueName="2" name="Platform" queryTableFieldId="2" dataDxfId="59"/>
    <tableColumn id="3" xr3:uid="{8CAADA02-355D-49CC-8D77-AF9500AF613C}" uniqueName="3" name="New_Followers" queryTableFieldId="3"/>
    <tableColumn id="4" xr3:uid="{DD9FF2EB-43F7-4CDD-BC1D-915E29027574}" uniqueName="4" name="Unfollows" queryTableFieldId="4"/>
    <tableColumn id="5" xr3:uid="{E67D17AB-FDEF-4FD9-A998-7C53F1DDD4F6}" uniqueName="5" name="Total_Followers" queryTableFieldId="5"/>
    <tableColumn id="6" xr3:uid="{862CED53-0884-4C93-A6C5-DDE9036492D1}" uniqueName="6" name="Engagement_Rate" queryTableFieldId="6"/>
    <tableColumn id="7" xr3:uid="{BBB41BDC-F4EE-434D-8902-0E0E4A98CDA3}" uniqueName="7" name="Ad_Spend" queryTableFieldId="7"/>
    <tableColumn id="8" xr3:uid="{3E72B3F6-C47C-4305-8612-66BE2778ED8B}" uniqueName="8" name="Net_FollowerGrowth_Rate" queryTableFieldId="8" dataDxfId="58"/>
    <tableColumn id="9" xr3:uid="{5EAEA6E8-71CB-47D6-A57D-B529AAAD1C14}" uniqueName="9" name="Follower_Gain" queryTableFieldId="9" dataDxfId="5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0F278B-A390-4BB3-A6D9-D5953560CF5E}" name="Table4" displayName="Table4" ref="B4:D8" totalsRowShown="0" headerRowDxfId="49" headerRowBorderDxfId="48">
  <autoFilter ref="B4:D8" xr:uid="{CE0F278B-A390-4BB3-A6D9-D5953560CF5E}"/>
  <tableColumns count="3">
    <tableColumn id="1" xr3:uid="{B345DAE0-7089-4C72-898B-2D3F47DC513C}" name="Row Labels" dataDxfId="47"/>
    <tableColumn id="2" xr3:uid="{15D3C756-5DE2-405B-A69D-F6B2F0FED019}" name="Sum of Engagement" dataDxfId="46"/>
    <tableColumn id="3" xr3:uid="{CBE091C3-75F3-45EF-9339-398E63C10BF3}" name="Sum of Ad_Spend" dataDxfId="45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229159-111E-4366-8184-BD9F13BDEFFB}" name="Table5" displayName="Table5" ref="A1:I201" totalsRowShown="0" tableBorderDxfId="44">
  <autoFilter ref="A1:I201" xr:uid="{7D229159-111E-4366-8184-BD9F13BDEFFB}"/>
  <tableColumns count="9">
    <tableColumn id="1" xr3:uid="{F3E98FB2-2B91-499A-A22E-7C6BF14A4713}" name="Week_Start_Date" dataDxfId="43"/>
    <tableColumn id="2" xr3:uid="{6122C595-ECF9-43AD-966B-F15DDFA41D03}" name="Platform" dataDxfId="42"/>
    <tableColumn id="3" xr3:uid="{7D9E7947-F52C-4025-AA52-C90C0ABD97E9}" name="New_Followers" dataDxfId="41"/>
    <tableColumn id="4" xr3:uid="{5868A3AA-D573-4FA9-B099-2334C3E15086}" name="Unfollows" dataDxfId="40"/>
    <tableColumn id="5" xr3:uid="{1ABF1E07-2DBB-4C16-96C5-B0A97AAEE986}" name="Total_Followers" dataDxfId="39"/>
    <tableColumn id="6" xr3:uid="{0756F43A-DFBB-4DB3-9121-DA338BC5708A}" name="Engagement_Rate" dataDxfId="38"/>
    <tableColumn id="7" xr3:uid="{A894BA1F-CE55-44A0-8514-49B138187525}" name="Ad_Spend" dataDxfId="37"/>
    <tableColumn id="8" xr3:uid="{6704E224-672D-49C5-AB9A-02DAC3549402}" name="Net_FollowerGrowth_Rate" dataDxfId="36">
      <calculatedColumnFormula>((C2-D2)/E2)</calculatedColumnFormula>
    </tableColumn>
    <tableColumn id="9" xr3:uid="{428AA4B3-3613-4E90-AE34-69E2949A2ACF}" name="Follower_Gain" dataDxfId="35">
      <calculatedColumnFormula>C2-D2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3711A7-32F2-4404-BCCF-07ABF1FE2B2E}" name="Table2" displayName="Table2" ref="B15:K19" totalsRowShown="0" headerRowDxfId="33" headerRowBorderDxfId="32" tableBorderDxfId="31" totalsRowBorderDxfId="30">
  <autoFilter ref="B15:K19" xr:uid="{7F3711A7-32F2-4404-BCCF-07ABF1FE2B2E}"/>
  <tableColumns count="10">
    <tableColumn id="1" xr3:uid="{134CD340-8376-4753-92D9-E869AC8D297E}" name="Campaign_Name" dataDxfId="29"/>
    <tableColumn id="2" xr3:uid="{08DFC2C5-2383-4C7A-BE40-ED845AD2CC09}" name="Start_Date" dataDxfId="28"/>
    <tableColumn id="3" xr3:uid="{F163C3BE-35CE-4A62-8667-29321353026C}" name="End_Date" dataDxfId="27"/>
    <tableColumn id="4" xr3:uid="{0D94B98F-1E80-4B16-8A1C-39D065F493C3}" name="Compaign_days" dataDxfId="26">
      <calculatedColumnFormula>D16-C16+1</calculatedColumnFormula>
    </tableColumn>
    <tableColumn id="5" xr3:uid="{56748F43-0855-4625-B276-E4768955AA72}" name="pre_compaign date" dataDxfId="25">
      <calculatedColumnFormula>C16-E16</calculatedColumnFormula>
    </tableColumn>
    <tableColumn id="6" xr3:uid="{965F8D66-E621-4E8C-8CBF-C269F0591598}" name="Engagement During" dataDxfId="24">
      <calculatedColumnFormula>SUM(SUMIFS(Posts_2[Likes],Posts_2[Date],"&gt;="&amp;C16,Posts_2[Date],"&lt;="&amp;D16),SUMIFS(Posts_2[Shares],Posts_2[Date],"&gt;="&amp;C16,Posts_2[Date],"&lt;="&amp;D16),SUMIFS(Posts_2[Comments],Posts_2[Date],"&gt;="&amp;C16,Posts_2[Date],"&lt;="&amp;D16))</calculatedColumnFormula>
    </tableColumn>
    <tableColumn id="7" xr3:uid="{454FDCCE-C155-4A0B-A952-E28EAB424E59}" name="Engagement Before" dataDxfId="23">
      <calculatedColumnFormula>SUM(SUMIFS(Posts_2[Likes],Posts_2[Date],"&gt;="&amp;F16,Posts_2[Date],"&lt;="&amp;C16),SUMIFS(Posts_2[Shares],Posts_2[Date],"&gt;="&amp;F16,Posts_2[Date],"&lt;="&amp;C16),SUMIFS(Posts_2[Comments],Posts_2[Date],"&gt;="&amp;F16,Posts_2[Date],"&lt;="&amp;C16))</calculatedColumnFormula>
    </tableColumn>
    <tableColumn id="8" xr3:uid="{8A86E9D5-5193-4B1C-9FEE-302B0874DE77}" name="Daily_Engagement During" dataDxfId="22">
      <calculatedColumnFormula>G16/E16</calculatedColumnFormula>
    </tableColumn>
    <tableColumn id="9" xr3:uid="{3417381A-0B86-4FEB-B062-194E8DAA563A}" name="Daily_Engagement Before" dataDxfId="21">
      <calculatedColumnFormula>H16/E16</calculatedColumnFormula>
    </tableColumn>
    <tableColumn id="10" xr3:uid="{834E6D62-0F48-4E66-99FC-8E728DADADC1}" name="Engagement Uplift" dataDxfId="20">
      <calculatedColumnFormula>(I16-J16)/I16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DB2CF0-854D-4BBC-94E6-D14F327DC2D7}" name="Table3" displayName="Table3" ref="A3:D7" totalsRowShown="0" headerRowBorderDxfId="19" tableBorderDxfId="18" totalsRowBorderDxfId="17">
  <autoFilter ref="A3:D7" xr:uid="{B1DB2CF0-854D-4BBC-94E6-D14F327DC2D7}"/>
  <tableColumns count="4">
    <tableColumn id="1" xr3:uid="{1D9994EA-E887-442F-BA42-78A8CBADCE76}" name="Campaign_Name" dataDxfId="16"/>
    <tableColumn id="2" xr3:uid="{740F7F53-B6FC-4153-8DCC-454B24943F83}" name="Total_Budget" dataDxfId="15"/>
    <tableColumn id="3" xr3:uid="{AA040108-2182-4B06-AE33-FF734B789371}" name="Total Engagement" dataDxfId="14">
      <calculatedColumnFormula>SUMIF(Posts_2[Campaign_Name],Table3[[#This Row],[Campaign_Name]],Posts_2[Engagement])</calculatedColumnFormula>
    </tableColumn>
    <tableColumn id="4" xr3:uid="{DEB9BF39-CD7F-4153-BD8C-CD6F50B14357}" name="Engagement per rupee" dataDxfId="13">
      <calculatedColumnFormula>C4/B4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C098BC5-6100-44B7-BFA5-9205488C5977}" name="Table8" displayName="Table8" ref="H3:K7" totalsRowShown="0" tableBorderDxfId="12">
  <autoFilter ref="H3:K7" xr:uid="{AC098BC5-6100-44B7-BFA5-9205488C5977}"/>
  <tableColumns count="4">
    <tableColumn id="1" xr3:uid="{6C8D1FA1-FB3A-414E-8509-EE7543630A45}" name="Campaign_Name" dataDxfId="11"/>
    <tableColumn id="2" xr3:uid="{E9D972F6-9FB8-46B7-A624-C671B7A51763}" name="Start_Date" dataDxfId="10"/>
    <tableColumn id="3" xr3:uid="{F4112D32-6640-41C8-B736-746A19BA1EE8}" name="End_Date" dataDxfId="9"/>
    <tableColumn id="4" xr3:uid="{07275F68-41FF-4175-BB98-8FCFFD35971A}" name="Follower Gain">
      <calculatedColumnFormula>SUMIFS(Table5_2[Follower_Gain],Table5_2[Week_Start_Date],"&gt;="&amp;Task5.2!I4,Table5_2[Week_Start_Date],"&lt;="&amp;Task5.2!J4)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table" Target="../tables/table3.xml"/><Relationship Id="rId4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1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EcC2lF0ePVG-zr_jWFbtBTPWYLd1GdoJ/view?usp=sharing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>
      <selection activeCell="L3" sqref="L3"/>
    </sheetView>
  </sheetViews>
  <sheetFormatPr defaultColWidth="14.44140625" defaultRowHeight="15" customHeight="1" x14ac:dyDescent="0.3"/>
  <cols>
    <col min="1" max="5" width="8.6640625" customWidth="1"/>
    <col min="6" max="11" width="8.6640625" style="10" customWidth="1"/>
    <col min="12" max="12" width="40.44140625" customWidth="1"/>
    <col min="13" max="13" width="14.44140625" customWidth="1"/>
    <col min="14" max="26" width="8.6640625" customWidth="1"/>
  </cols>
  <sheetData>
    <row r="1" spans="1:1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1" t="s">
        <v>11</v>
      </c>
      <c r="M1" s="1" t="s">
        <v>12</v>
      </c>
    </row>
    <row r="2" spans="1:13" ht="14.4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9">
        <v>1461</v>
      </c>
      <c r="G2" s="9">
        <v>184</v>
      </c>
      <c r="H2" s="9">
        <v>344</v>
      </c>
      <c r="I2" s="9">
        <v>21915</v>
      </c>
      <c r="J2" s="9">
        <v>21675</v>
      </c>
      <c r="K2" s="9">
        <v>15</v>
      </c>
      <c r="L2" s="2" t="s">
        <v>18</v>
      </c>
      <c r="M2" s="2" t="s">
        <v>19</v>
      </c>
    </row>
    <row r="3" spans="1:13" ht="14.4" x14ac:dyDescent="0.3">
      <c r="A3" s="2" t="s">
        <v>20</v>
      </c>
      <c r="B3" s="2" t="s">
        <v>14</v>
      </c>
      <c r="C3" s="2" t="s">
        <v>21</v>
      </c>
      <c r="D3" s="2" t="s">
        <v>22</v>
      </c>
      <c r="E3" s="2" t="s">
        <v>23</v>
      </c>
      <c r="F3" s="9">
        <v>4054</v>
      </c>
      <c r="G3" s="9">
        <v>389</v>
      </c>
      <c r="H3" s="9">
        <v>493</v>
      </c>
      <c r="I3" s="9">
        <v>64864</v>
      </c>
      <c r="J3" s="9">
        <v>64383</v>
      </c>
      <c r="K3" s="9">
        <v>117</v>
      </c>
      <c r="L3" s="2" t="s">
        <v>24</v>
      </c>
      <c r="M3" s="2" t="s">
        <v>25</v>
      </c>
    </row>
    <row r="4" spans="1:13" ht="14.4" x14ac:dyDescent="0.3">
      <c r="A4" s="2" t="s">
        <v>26</v>
      </c>
      <c r="B4" s="2" t="s">
        <v>27</v>
      </c>
      <c r="C4" s="2" t="s">
        <v>28</v>
      </c>
      <c r="D4" s="2" t="s">
        <v>16</v>
      </c>
      <c r="E4" s="2" t="s">
        <v>29</v>
      </c>
      <c r="F4" s="9">
        <v>2795</v>
      </c>
      <c r="G4" s="9">
        <v>105</v>
      </c>
      <c r="H4" s="9">
        <v>49</v>
      </c>
      <c r="I4" s="9">
        <v>53105</v>
      </c>
      <c r="J4" s="9">
        <v>52307</v>
      </c>
      <c r="K4" s="9">
        <v>204</v>
      </c>
      <c r="L4" s="2" t="s">
        <v>30</v>
      </c>
      <c r="M4" s="2" t="s">
        <v>31</v>
      </c>
    </row>
    <row r="5" spans="1:13" ht="14.4" x14ac:dyDescent="0.3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9">
        <v>2404</v>
      </c>
      <c r="G5" s="9">
        <v>363</v>
      </c>
      <c r="H5" s="9">
        <v>138</v>
      </c>
      <c r="I5" s="9">
        <v>19232</v>
      </c>
      <c r="J5" s="9">
        <v>18636</v>
      </c>
      <c r="K5" s="9">
        <v>128</v>
      </c>
      <c r="L5" s="2" t="s">
        <v>37</v>
      </c>
      <c r="M5" s="2" t="s">
        <v>38</v>
      </c>
    </row>
    <row r="6" spans="1:13" ht="14.4" x14ac:dyDescent="0.3">
      <c r="A6" s="2" t="s">
        <v>39</v>
      </c>
      <c r="B6" s="2" t="s">
        <v>27</v>
      </c>
      <c r="C6" s="2" t="s">
        <v>40</v>
      </c>
      <c r="D6" s="2" t="s">
        <v>16</v>
      </c>
      <c r="E6" s="2" t="s">
        <v>29</v>
      </c>
      <c r="F6" s="9">
        <v>3557</v>
      </c>
      <c r="G6" s="9">
        <v>687</v>
      </c>
      <c r="H6" s="9">
        <v>424</v>
      </c>
      <c r="I6" s="9">
        <v>71140</v>
      </c>
      <c r="J6" s="9">
        <v>70701</v>
      </c>
      <c r="K6" s="9">
        <v>224</v>
      </c>
      <c r="L6" s="2" t="s">
        <v>41</v>
      </c>
      <c r="M6" s="2" t="s">
        <v>19</v>
      </c>
    </row>
    <row r="7" spans="1:13" ht="14.4" x14ac:dyDescent="0.3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9">
        <v>2945</v>
      </c>
      <c r="G7" s="9">
        <v>930</v>
      </c>
      <c r="H7" s="9">
        <v>355</v>
      </c>
      <c r="I7" s="9">
        <v>23560</v>
      </c>
      <c r="J7" s="9">
        <v>23275</v>
      </c>
      <c r="K7" s="9">
        <v>256</v>
      </c>
      <c r="L7" s="2" t="s">
        <v>30</v>
      </c>
      <c r="M7" s="2" t="s">
        <v>25</v>
      </c>
    </row>
    <row r="8" spans="1:13" ht="14.4" x14ac:dyDescent="0.3">
      <c r="A8" s="2" t="s">
        <v>47</v>
      </c>
      <c r="B8" s="2" t="s">
        <v>14</v>
      </c>
      <c r="C8" s="2" t="s">
        <v>48</v>
      </c>
      <c r="D8" s="2" t="s">
        <v>45</v>
      </c>
      <c r="E8" s="2" t="s">
        <v>49</v>
      </c>
      <c r="F8" s="9">
        <v>3860</v>
      </c>
      <c r="G8" s="9">
        <v>201</v>
      </c>
      <c r="H8" s="9">
        <v>279</v>
      </c>
      <c r="I8" s="9">
        <v>61760</v>
      </c>
      <c r="J8" s="9">
        <v>61660</v>
      </c>
      <c r="K8" s="9">
        <v>235</v>
      </c>
      <c r="L8" s="2" t="s">
        <v>30</v>
      </c>
      <c r="M8" s="2" t="s">
        <v>25</v>
      </c>
    </row>
    <row r="9" spans="1:13" ht="14.4" x14ac:dyDescent="0.3">
      <c r="A9" s="2" t="s">
        <v>50</v>
      </c>
      <c r="B9" s="2" t="s">
        <v>27</v>
      </c>
      <c r="C9" s="2" t="s">
        <v>51</v>
      </c>
      <c r="D9" s="2" t="s">
        <v>52</v>
      </c>
      <c r="E9" s="2" t="s">
        <v>53</v>
      </c>
      <c r="F9" s="9">
        <v>3929</v>
      </c>
      <c r="G9" s="9">
        <v>262</v>
      </c>
      <c r="H9" s="9">
        <v>278</v>
      </c>
      <c r="I9" s="9">
        <v>43219</v>
      </c>
      <c r="J9" s="9">
        <v>42841</v>
      </c>
      <c r="K9" s="9">
        <v>39</v>
      </c>
      <c r="L9" s="2" t="s">
        <v>37</v>
      </c>
      <c r="M9" s="2" t="s">
        <v>38</v>
      </c>
    </row>
    <row r="10" spans="1:13" ht="14.4" x14ac:dyDescent="0.3">
      <c r="A10" s="2" t="s">
        <v>54</v>
      </c>
      <c r="B10" s="2" t="s">
        <v>43</v>
      </c>
      <c r="C10" s="2" t="s">
        <v>55</v>
      </c>
      <c r="D10" s="2" t="s">
        <v>22</v>
      </c>
      <c r="E10" s="2" t="s">
        <v>56</v>
      </c>
      <c r="F10" s="9">
        <v>3784</v>
      </c>
      <c r="G10" s="9">
        <v>808</v>
      </c>
      <c r="H10" s="9">
        <v>404</v>
      </c>
      <c r="I10" s="9">
        <v>56760</v>
      </c>
      <c r="J10" s="9">
        <v>56343</v>
      </c>
      <c r="K10" s="9">
        <v>131</v>
      </c>
      <c r="L10" s="2" t="s">
        <v>30</v>
      </c>
      <c r="M10" s="2" t="s">
        <v>25</v>
      </c>
    </row>
    <row r="11" spans="1:13" ht="14.4" x14ac:dyDescent="0.3">
      <c r="A11" s="2" t="s">
        <v>57</v>
      </c>
      <c r="B11" s="2" t="s">
        <v>43</v>
      </c>
      <c r="C11" s="2" t="s">
        <v>58</v>
      </c>
      <c r="D11" s="2" t="s">
        <v>52</v>
      </c>
      <c r="E11" s="2" t="s">
        <v>59</v>
      </c>
      <c r="F11" s="9">
        <v>4241</v>
      </c>
      <c r="G11" s="9">
        <v>902</v>
      </c>
      <c r="H11" s="9">
        <v>47</v>
      </c>
      <c r="I11" s="9">
        <v>72097</v>
      </c>
      <c r="J11" s="9">
        <v>71598</v>
      </c>
      <c r="K11" s="9">
        <v>167</v>
      </c>
      <c r="L11" s="2" t="s">
        <v>30</v>
      </c>
      <c r="M11" s="2" t="s">
        <v>25</v>
      </c>
    </row>
    <row r="12" spans="1:13" ht="14.4" x14ac:dyDescent="0.3">
      <c r="A12" s="2" t="s">
        <v>60</v>
      </c>
      <c r="B12" s="2" t="s">
        <v>33</v>
      </c>
      <c r="C12" s="2" t="s">
        <v>61</v>
      </c>
      <c r="D12" s="2" t="s">
        <v>35</v>
      </c>
      <c r="E12" s="2" t="s">
        <v>36</v>
      </c>
      <c r="F12" s="9">
        <v>1792</v>
      </c>
      <c r="G12" s="9">
        <v>614</v>
      </c>
      <c r="H12" s="9">
        <v>497</v>
      </c>
      <c r="I12" s="9">
        <v>25088</v>
      </c>
      <c r="J12" s="9">
        <v>24675</v>
      </c>
      <c r="K12" s="9">
        <v>65</v>
      </c>
      <c r="L12" s="2" t="s">
        <v>62</v>
      </c>
      <c r="M12" s="2" t="s">
        <v>38</v>
      </c>
    </row>
    <row r="13" spans="1:13" ht="14.4" x14ac:dyDescent="0.3">
      <c r="A13" s="2" t="s">
        <v>63</v>
      </c>
      <c r="B13" s="2" t="s">
        <v>43</v>
      </c>
      <c r="C13" s="2" t="s">
        <v>64</v>
      </c>
      <c r="D13" s="2" t="s">
        <v>16</v>
      </c>
      <c r="E13" s="2" t="s">
        <v>65</v>
      </c>
      <c r="F13" s="9">
        <v>1946</v>
      </c>
      <c r="G13" s="9">
        <v>686</v>
      </c>
      <c r="H13" s="9">
        <v>377</v>
      </c>
      <c r="I13" s="9">
        <v>23352</v>
      </c>
      <c r="J13" s="9">
        <v>22982</v>
      </c>
      <c r="K13" s="9">
        <v>213</v>
      </c>
      <c r="L13" s="2" t="s">
        <v>62</v>
      </c>
      <c r="M13" s="2" t="s">
        <v>31</v>
      </c>
    </row>
    <row r="14" spans="1:13" ht="14.4" x14ac:dyDescent="0.3">
      <c r="A14" s="2" t="s">
        <v>66</v>
      </c>
      <c r="B14" s="2" t="s">
        <v>27</v>
      </c>
      <c r="C14" s="2" t="s">
        <v>67</v>
      </c>
      <c r="D14" s="2" t="s">
        <v>45</v>
      </c>
      <c r="E14" s="2" t="s">
        <v>68</v>
      </c>
      <c r="F14" s="9">
        <v>1171</v>
      </c>
      <c r="G14" s="9">
        <v>286</v>
      </c>
      <c r="H14" s="9">
        <v>231</v>
      </c>
      <c r="I14" s="9">
        <v>22249</v>
      </c>
      <c r="J14" s="9">
        <v>21282</v>
      </c>
      <c r="K14" s="9">
        <v>114</v>
      </c>
      <c r="L14" s="2" t="s">
        <v>37</v>
      </c>
      <c r="M14" s="2" t="s">
        <v>19</v>
      </c>
    </row>
    <row r="15" spans="1:13" ht="14.4" x14ac:dyDescent="0.3">
      <c r="A15" s="2" t="s">
        <v>69</v>
      </c>
      <c r="B15" s="2" t="s">
        <v>43</v>
      </c>
      <c r="C15" s="2" t="s">
        <v>70</v>
      </c>
      <c r="D15" s="2" t="s">
        <v>35</v>
      </c>
      <c r="E15" s="2" t="s">
        <v>71</v>
      </c>
      <c r="F15" s="9">
        <v>4242</v>
      </c>
      <c r="G15" s="9">
        <v>555</v>
      </c>
      <c r="H15" s="9">
        <v>131</v>
      </c>
      <c r="I15" s="9">
        <v>33936</v>
      </c>
      <c r="J15" s="9">
        <v>33802</v>
      </c>
      <c r="K15" s="9">
        <v>265</v>
      </c>
      <c r="L15" s="2" t="s">
        <v>62</v>
      </c>
    </row>
    <row r="16" spans="1:13" ht="14.4" x14ac:dyDescent="0.3">
      <c r="A16" s="2" t="s">
        <v>72</v>
      </c>
      <c r="B16" s="2" t="s">
        <v>43</v>
      </c>
      <c r="C16" s="2" t="s">
        <v>73</v>
      </c>
      <c r="D16" s="2" t="s">
        <v>74</v>
      </c>
      <c r="E16" s="2" t="s">
        <v>75</v>
      </c>
      <c r="F16" s="9">
        <v>3888</v>
      </c>
      <c r="G16" s="9">
        <v>604</v>
      </c>
      <c r="H16" s="9">
        <v>128</v>
      </c>
      <c r="I16" s="9">
        <v>77760</v>
      </c>
      <c r="J16" s="9">
        <v>77167</v>
      </c>
      <c r="K16" s="9">
        <v>20</v>
      </c>
      <c r="L16" s="2" t="s">
        <v>62</v>
      </c>
      <c r="M16" s="2" t="s">
        <v>19</v>
      </c>
    </row>
    <row r="17" spans="1:13" ht="14.4" x14ac:dyDescent="0.3">
      <c r="A17" s="2" t="s">
        <v>76</v>
      </c>
      <c r="B17" s="2" t="s">
        <v>43</v>
      </c>
      <c r="C17" s="2" t="s">
        <v>77</v>
      </c>
      <c r="D17" s="2" t="s">
        <v>22</v>
      </c>
      <c r="E17" s="2" t="s">
        <v>56</v>
      </c>
      <c r="F17" s="9">
        <v>3452</v>
      </c>
      <c r="G17" s="9">
        <v>377</v>
      </c>
      <c r="H17" s="9">
        <v>360</v>
      </c>
      <c r="I17" s="9">
        <v>55232</v>
      </c>
      <c r="J17" s="9">
        <v>55075</v>
      </c>
      <c r="K17" s="9">
        <v>87</v>
      </c>
      <c r="L17" s="2" t="s">
        <v>62</v>
      </c>
      <c r="M17" s="2" t="s">
        <v>31</v>
      </c>
    </row>
    <row r="18" spans="1:13" ht="14.4" x14ac:dyDescent="0.3">
      <c r="A18" s="2" t="s">
        <v>78</v>
      </c>
      <c r="B18" s="2" t="s">
        <v>43</v>
      </c>
      <c r="C18" s="2" t="s">
        <v>79</v>
      </c>
      <c r="D18" s="2" t="s">
        <v>22</v>
      </c>
      <c r="E18" s="2" t="s">
        <v>56</v>
      </c>
      <c r="F18" s="9">
        <v>4441</v>
      </c>
      <c r="G18" s="9">
        <v>511</v>
      </c>
      <c r="H18" s="9">
        <v>70</v>
      </c>
      <c r="I18" s="9">
        <v>53292</v>
      </c>
      <c r="J18" s="9">
        <v>53082</v>
      </c>
      <c r="K18" s="9">
        <v>159</v>
      </c>
      <c r="L18" s="2" t="s">
        <v>37</v>
      </c>
      <c r="M18" s="2" t="s">
        <v>38</v>
      </c>
    </row>
    <row r="19" spans="1:13" ht="14.4" x14ac:dyDescent="0.3">
      <c r="A19" s="2" t="s">
        <v>80</v>
      </c>
      <c r="B19" s="2" t="s">
        <v>33</v>
      </c>
      <c r="C19" s="2" t="s">
        <v>81</v>
      </c>
      <c r="D19" s="2" t="s">
        <v>16</v>
      </c>
      <c r="E19" s="2" t="s">
        <v>82</v>
      </c>
      <c r="F19" s="9">
        <v>3000</v>
      </c>
      <c r="G19" s="9">
        <v>382</v>
      </c>
      <c r="H19" s="9">
        <v>325</v>
      </c>
      <c r="I19" s="9">
        <v>36000</v>
      </c>
      <c r="J19" s="9">
        <v>35819</v>
      </c>
      <c r="K19" s="9">
        <v>19</v>
      </c>
      <c r="L19" s="2" t="s">
        <v>62</v>
      </c>
      <c r="M19" s="2" t="s">
        <v>19</v>
      </c>
    </row>
    <row r="20" spans="1:13" ht="14.4" x14ac:dyDescent="0.3">
      <c r="A20" s="2" t="s">
        <v>83</v>
      </c>
      <c r="B20" s="2" t="s">
        <v>33</v>
      </c>
      <c r="C20" s="2" t="s">
        <v>84</v>
      </c>
      <c r="D20" s="2" t="s">
        <v>74</v>
      </c>
      <c r="E20" s="2" t="s">
        <v>85</v>
      </c>
      <c r="F20" s="9">
        <v>1071</v>
      </c>
      <c r="G20" s="9">
        <v>519</v>
      </c>
      <c r="H20" s="9">
        <v>22</v>
      </c>
      <c r="I20" s="9">
        <v>16065</v>
      </c>
      <c r="J20" s="9">
        <v>15865</v>
      </c>
      <c r="K20" s="9">
        <v>103</v>
      </c>
      <c r="L20" s="2" t="s">
        <v>30</v>
      </c>
      <c r="M20" s="2" t="s">
        <v>38</v>
      </c>
    </row>
    <row r="21" spans="1:13" ht="15.75" customHeight="1" x14ac:dyDescent="0.3">
      <c r="A21" s="2" t="s">
        <v>86</v>
      </c>
      <c r="B21" s="2" t="s">
        <v>33</v>
      </c>
      <c r="C21" s="2" t="s">
        <v>87</v>
      </c>
      <c r="D21" s="2" t="s">
        <v>45</v>
      </c>
      <c r="E21" s="2" t="s">
        <v>88</v>
      </c>
      <c r="F21" s="9">
        <v>4054</v>
      </c>
      <c r="G21" s="9">
        <v>488</v>
      </c>
      <c r="H21" s="9">
        <v>373</v>
      </c>
      <c r="I21" s="9">
        <v>77026</v>
      </c>
      <c r="J21" s="9">
        <v>76881</v>
      </c>
      <c r="K21" s="9">
        <v>25</v>
      </c>
      <c r="L21" s="2" t="s">
        <v>30</v>
      </c>
      <c r="M21" s="2" t="s">
        <v>19</v>
      </c>
    </row>
    <row r="22" spans="1:13" ht="15.75" customHeight="1" x14ac:dyDescent="0.3">
      <c r="A22" s="2" t="s">
        <v>89</v>
      </c>
      <c r="B22" s="2" t="s">
        <v>33</v>
      </c>
      <c r="C22" s="2" t="s">
        <v>90</v>
      </c>
      <c r="D22" s="2" t="s">
        <v>16</v>
      </c>
      <c r="E22" s="2" t="s">
        <v>82</v>
      </c>
      <c r="F22" s="9">
        <v>4838</v>
      </c>
      <c r="G22" s="9">
        <v>640</v>
      </c>
      <c r="H22" s="9">
        <v>128</v>
      </c>
      <c r="I22" s="9">
        <v>72570</v>
      </c>
      <c r="J22" s="9">
        <v>72396</v>
      </c>
      <c r="K22" s="9">
        <v>83</v>
      </c>
      <c r="L22" s="2" t="s">
        <v>62</v>
      </c>
      <c r="M22" s="2" t="s">
        <v>38</v>
      </c>
    </row>
    <row r="23" spans="1:13" ht="15.75" customHeight="1" x14ac:dyDescent="0.3">
      <c r="A23" s="2" t="s">
        <v>91</v>
      </c>
      <c r="B23" s="2" t="s">
        <v>43</v>
      </c>
      <c r="C23" s="2" t="s">
        <v>92</v>
      </c>
      <c r="D23" s="2" t="s">
        <v>22</v>
      </c>
      <c r="E23" s="2" t="s">
        <v>56</v>
      </c>
      <c r="F23" s="9">
        <v>1570</v>
      </c>
      <c r="G23" s="9">
        <v>187</v>
      </c>
      <c r="H23" s="9">
        <v>260</v>
      </c>
      <c r="I23" s="9">
        <v>25120</v>
      </c>
      <c r="J23" s="9">
        <v>24613</v>
      </c>
      <c r="K23" s="9">
        <v>133</v>
      </c>
      <c r="L23" s="2" t="s">
        <v>30</v>
      </c>
      <c r="M23" s="2" t="s">
        <v>38</v>
      </c>
    </row>
    <row r="24" spans="1:13" ht="15.75" customHeight="1" x14ac:dyDescent="0.3">
      <c r="A24" s="2" t="s">
        <v>93</v>
      </c>
      <c r="B24" s="2" t="s">
        <v>43</v>
      </c>
      <c r="C24" s="2" t="s">
        <v>94</v>
      </c>
      <c r="D24" s="2" t="s">
        <v>74</v>
      </c>
      <c r="E24" s="2" t="s">
        <v>75</v>
      </c>
      <c r="F24" s="9">
        <v>1606</v>
      </c>
      <c r="G24" s="9">
        <v>547</v>
      </c>
      <c r="H24" s="9">
        <v>316</v>
      </c>
      <c r="I24" s="9">
        <v>32120</v>
      </c>
      <c r="J24" s="9">
        <v>31736</v>
      </c>
      <c r="K24" s="9">
        <v>225</v>
      </c>
      <c r="L24" s="2" t="s">
        <v>95</v>
      </c>
      <c r="M24" s="2" t="s">
        <v>25</v>
      </c>
    </row>
    <row r="25" spans="1:13" ht="15.75" customHeight="1" x14ac:dyDescent="0.3">
      <c r="A25" s="2" t="s">
        <v>96</v>
      </c>
      <c r="B25" s="2" t="s">
        <v>43</v>
      </c>
      <c r="C25" s="2" t="s">
        <v>97</v>
      </c>
      <c r="D25" s="2" t="s">
        <v>74</v>
      </c>
      <c r="E25" s="2" t="s">
        <v>75</v>
      </c>
      <c r="F25" s="9">
        <v>3961</v>
      </c>
      <c r="G25" s="9">
        <v>761</v>
      </c>
      <c r="H25" s="9">
        <v>131</v>
      </c>
      <c r="I25" s="9">
        <v>67337</v>
      </c>
      <c r="J25" s="9">
        <v>66615</v>
      </c>
      <c r="K25" s="9">
        <v>161</v>
      </c>
      <c r="L25" s="2" t="s">
        <v>62</v>
      </c>
      <c r="M25" s="2" t="s">
        <v>31</v>
      </c>
    </row>
    <row r="26" spans="1:13" ht="15.75" customHeight="1" x14ac:dyDescent="0.3">
      <c r="A26" s="2" t="s">
        <v>98</v>
      </c>
      <c r="B26" s="2" t="s">
        <v>14</v>
      </c>
      <c r="C26" s="2" t="s">
        <v>99</v>
      </c>
      <c r="D26" s="2" t="s">
        <v>45</v>
      </c>
      <c r="E26" s="2" t="s">
        <v>49</v>
      </c>
      <c r="F26" s="9">
        <v>3128</v>
      </c>
      <c r="G26" s="9">
        <v>211</v>
      </c>
      <c r="H26" s="9">
        <v>197</v>
      </c>
      <c r="I26" s="9">
        <v>59432</v>
      </c>
      <c r="J26" s="9">
        <v>59182</v>
      </c>
      <c r="K26" s="9">
        <v>238</v>
      </c>
      <c r="L26" s="2" t="s">
        <v>37</v>
      </c>
    </row>
    <row r="27" spans="1:13" ht="15.75" customHeight="1" x14ac:dyDescent="0.3">
      <c r="A27" s="2" t="s">
        <v>100</v>
      </c>
      <c r="B27" s="2" t="s">
        <v>27</v>
      </c>
      <c r="C27" s="2" t="s">
        <v>101</v>
      </c>
      <c r="D27" s="2" t="s">
        <v>16</v>
      </c>
      <c r="E27" s="2" t="s">
        <v>29</v>
      </c>
      <c r="F27" s="9">
        <v>3009</v>
      </c>
      <c r="G27" s="9">
        <v>413</v>
      </c>
      <c r="H27" s="9">
        <v>358</v>
      </c>
      <c r="I27" s="9">
        <v>42126</v>
      </c>
      <c r="J27" s="9">
        <v>41309</v>
      </c>
      <c r="K27" s="9">
        <v>211</v>
      </c>
      <c r="L27" s="2" t="s">
        <v>62</v>
      </c>
      <c r="M27" s="2" t="s">
        <v>25</v>
      </c>
    </row>
    <row r="28" spans="1:13" ht="15.75" customHeight="1" x14ac:dyDescent="0.3">
      <c r="A28" s="2" t="s">
        <v>102</v>
      </c>
      <c r="B28" s="2" t="s">
        <v>27</v>
      </c>
      <c r="C28" s="2" t="s">
        <v>103</v>
      </c>
      <c r="D28" s="2" t="s">
        <v>22</v>
      </c>
      <c r="E28" s="2" t="s">
        <v>104</v>
      </c>
      <c r="F28" s="9">
        <v>2076</v>
      </c>
      <c r="G28" s="9">
        <v>195</v>
      </c>
      <c r="H28" s="9">
        <v>104</v>
      </c>
      <c r="I28" s="9">
        <v>33216</v>
      </c>
      <c r="J28" s="9">
        <v>32244</v>
      </c>
      <c r="K28" s="9">
        <v>51</v>
      </c>
      <c r="L28" s="2" t="s">
        <v>62</v>
      </c>
      <c r="M28" s="2" t="s">
        <v>38</v>
      </c>
    </row>
    <row r="29" spans="1:13" ht="15.75" customHeight="1" x14ac:dyDescent="0.3">
      <c r="A29" s="2" t="s">
        <v>105</v>
      </c>
      <c r="B29" s="2" t="s">
        <v>33</v>
      </c>
      <c r="C29" s="2" t="s">
        <v>106</v>
      </c>
      <c r="D29" s="2" t="s">
        <v>74</v>
      </c>
      <c r="E29" s="2" t="s">
        <v>85</v>
      </c>
      <c r="F29" s="9">
        <v>432</v>
      </c>
      <c r="G29" s="9">
        <v>624</v>
      </c>
      <c r="H29" s="9">
        <v>123</v>
      </c>
      <c r="I29" s="9">
        <v>6912</v>
      </c>
      <c r="J29" s="9">
        <v>6259</v>
      </c>
      <c r="K29" s="9">
        <v>79</v>
      </c>
      <c r="L29" s="2" t="s">
        <v>62</v>
      </c>
      <c r="M29" s="2" t="s">
        <v>38</v>
      </c>
    </row>
    <row r="30" spans="1:13" ht="15.75" customHeight="1" x14ac:dyDescent="0.3">
      <c r="A30" s="2" t="s">
        <v>107</v>
      </c>
      <c r="B30" s="2" t="s">
        <v>33</v>
      </c>
      <c r="C30" s="2" t="s">
        <v>108</v>
      </c>
      <c r="D30" s="2" t="s">
        <v>45</v>
      </c>
      <c r="E30" s="2" t="s">
        <v>88</v>
      </c>
      <c r="F30" s="9">
        <v>2566</v>
      </c>
      <c r="G30" s="9">
        <v>118</v>
      </c>
      <c r="H30" s="9">
        <v>37</v>
      </c>
      <c r="I30" s="9">
        <v>12830</v>
      </c>
      <c r="J30" s="9">
        <v>12264</v>
      </c>
      <c r="K30" s="9">
        <v>221</v>
      </c>
      <c r="L30" s="2" t="s">
        <v>62</v>
      </c>
      <c r="M30" s="2" t="s">
        <v>31</v>
      </c>
    </row>
    <row r="31" spans="1:13" ht="15.75" customHeight="1" x14ac:dyDescent="0.3">
      <c r="A31" s="2" t="s">
        <v>109</v>
      </c>
      <c r="B31" s="2" t="s">
        <v>33</v>
      </c>
      <c r="C31" s="2" t="s">
        <v>110</v>
      </c>
      <c r="D31" s="2" t="s">
        <v>74</v>
      </c>
      <c r="E31" s="2" t="s">
        <v>85</v>
      </c>
      <c r="F31" s="9">
        <v>3095</v>
      </c>
      <c r="G31" s="9">
        <v>39</v>
      </c>
      <c r="H31" s="9">
        <v>78</v>
      </c>
      <c r="I31" s="9">
        <v>55710</v>
      </c>
      <c r="J31" s="9">
        <v>54808</v>
      </c>
      <c r="K31" s="9">
        <v>93</v>
      </c>
      <c r="L31" s="2" t="s">
        <v>37</v>
      </c>
    </row>
    <row r="32" spans="1:13" ht="15.75" customHeight="1" x14ac:dyDescent="0.3">
      <c r="A32" s="2" t="s">
        <v>111</v>
      </c>
      <c r="B32" s="2" t="s">
        <v>33</v>
      </c>
      <c r="C32" s="2" t="s">
        <v>112</v>
      </c>
      <c r="D32" s="2" t="s">
        <v>22</v>
      </c>
      <c r="E32" s="2" t="s">
        <v>113</v>
      </c>
      <c r="F32" s="9">
        <v>438</v>
      </c>
      <c r="G32" s="9">
        <v>153</v>
      </c>
      <c r="H32" s="9">
        <v>275</v>
      </c>
      <c r="I32" s="9">
        <v>3066</v>
      </c>
      <c r="J32" s="9">
        <v>2701</v>
      </c>
      <c r="K32" s="9">
        <v>282</v>
      </c>
      <c r="L32" s="2" t="s">
        <v>30</v>
      </c>
      <c r="M32" s="2" t="s">
        <v>25</v>
      </c>
    </row>
    <row r="33" spans="1:13" ht="15.75" customHeight="1" x14ac:dyDescent="0.3">
      <c r="A33" s="2" t="s">
        <v>114</v>
      </c>
      <c r="B33" s="2" t="s">
        <v>14</v>
      </c>
      <c r="C33" s="2" t="s">
        <v>115</v>
      </c>
      <c r="D33" s="2" t="s">
        <v>45</v>
      </c>
      <c r="E33" s="2" t="s">
        <v>49</v>
      </c>
      <c r="F33" s="9">
        <v>2278</v>
      </c>
      <c r="G33" s="9">
        <v>10</v>
      </c>
      <c r="H33" s="9">
        <v>321</v>
      </c>
      <c r="I33" s="9">
        <v>13668</v>
      </c>
      <c r="J33" s="9">
        <v>12676</v>
      </c>
      <c r="K33" s="9">
        <v>275</v>
      </c>
      <c r="L33" s="2" t="s">
        <v>37</v>
      </c>
      <c r="M33" s="2" t="s">
        <v>19</v>
      </c>
    </row>
    <row r="34" spans="1:13" ht="15.75" customHeight="1" x14ac:dyDescent="0.3">
      <c r="A34" s="2" t="s">
        <v>116</v>
      </c>
      <c r="B34" s="2" t="s">
        <v>43</v>
      </c>
      <c r="C34" s="2" t="s">
        <v>117</v>
      </c>
      <c r="D34" s="2" t="s">
        <v>52</v>
      </c>
      <c r="E34" s="2" t="s">
        <v>59</v>
      </c>
      <c r="F34" s="9">
        <v>1407</v>
      </c>
      <c r="G34" s="9">
        <v>400</v>
      </c>
      <c r="H34" s="9">
        <v>351</v>
      </c>
      <c r="I34" s="9">
        <v>16884</v>
      </c>
      <c r="J34" s="9">
        <v>15954</v>
      </c>
      <c r="K34" s="9">
        <v>113</v>
      </c>
      <c r="L34" s="2" t="s">
        <v>30</v>
      </c>
      <c r="M34" s="2" t="s">
        <v>19</v>
      </c>
    </row>
    <row r="35" spans="1:13" ht="15.75" customHeight="1" x14ac:dyDescent="0.3">
      <c r="A35" s="2" t="s">
        <v>118</v>
      </c>
      <c r="B35" s="2" t="s">
        <v>43</v>
      </c>
      <c r="C35" s="2" t="s">
        <v>119</v>
      </c>
      <c r="D35" s="2" t="s">
        <v>22</v>
      </c>
      <c r="E35" s="2" t="s">
        <v>56</v>
      </c>
      <c r="F35" s="9">
        <v>1652</v>
      </c>
      <c r="G35" s="9">
        <v>89</v>
      </c>
      <c r="H35" s="9">
        <v>357</v>
      </c>
      <c r="I35" s="9">
        <v>29736</v>
      </c>
      <c r="J35" s="9">
        <v>28771</v>
      </c>
      <c r="K35" s="9">
        <v>215</v>
      </c>
      <c r="L35" s="2" t="s">
        <v>30</v>
      </c>
      <c r="M35" s="2" t="s">
        <v>31</v>
      </c>
    </row>
    <row r="36" spans="1:13" ht="15.75" customHeight="1" x14ac:dyDescent="0.3">
      <c r="A36" s="2" t="s">
        <v>120</v>
      </c>
      <c r="B36" s="2" t="s">
        <v>33</v>
      </c>
      <c r="C36" s="2" t="s">
        <v>121</v>
      </c>
      <c r="D36" s="2" t="s">
        <v>74</v>
      </c>
      <c r="E36" s="2" t="s">
        <v>85</v>
      </c>
      <c r="F36" s="9">
        <v>3775</v>
      </c>
      <c r="G36" s="9">
        <v>16</v>
      </c>
      <c r="H36" s="9">
        <v>239</v>
      </c>
      <c r="I36" s="9">
        <v>33975</v>
      </c>
      <c r="J36" s="9">
        <v>33310</v>
      </c>
      <c r="K36" s="9">
        <v>271</v>
      </c>
      <c r="L36" s="2" t="s">
        <v>62</v>
      </c>
      <c r="M36" s="2" t="s">
        <v>25</v>
      </c>
    </row>
    <row r="37" spans="1:13" ht="15.75" customHeight="1" x14ac:dyDescent="0.3">
      <c r="A37" s="2" t="s">
        <v>122</v>
      </c>
      <c r="B37" s="2" t="s">
        <v>33</v>
      </c>
      <c r="C37" s="2" t="s">
        <v>123</v>
      </c>
      <c r="D37" s="2" t="s">
        <v>35</v>
      </c>
      <c r="E37" s="2" t="s">
        <v>36</v>
      </c>
      <c r="F37" s="9">
        <v>4518</v>
      </c>
      <c r="G37" s="9">
        <v>285</v>
      </c>
      <c r="H37" s="9">
        <v>383</v>
      </c>
      <c r="I37" s="9">
        <v>67770</v>
      </c>
      <c r="J37" s="9">
        <v>67621</v>
      </c>
      <c r="K37" s="9">
        <v>31</v>
      </c>
      <c r="L37" s="2" t="s">
        <v>37</v>
      </c>
      <c r="M37" s="2" t="s">
        <v>25</v>
      </c>
    </row>
    <row r="38" spans="1:13" ht="15.75" customHeight="1" x14ac:dyDescent="0.3">
      <c r="A38" s="2" t="s">
        <v>124</v>
      </c>
      <c r="B38" s="2" t="s">
        <v>43</v>
      </c>
      <c r="C38" s="2" t="s">
        <v>125</v>
      </c>
      <c r="D38" s="2" t="s">
        <v>45</v>
      </c>
      <c r="E38" s="2" t="s">
        <v>46</v>
      </c>
      <c r="F38" s="9">
        <v>3024</v>
      </c>
      <c r="G38" s="9">
        <v>925</v>
      </c>
      <c r="H38" s="9">
        <v>350</v>
      </c>
      <c r="I38" s="9">
        <v>24192</v>
      </c>
      <c r="J38" s="9">
        <v>23518</v>
      </c>
      <c r="K38" s="9">
        <v>36</v>
      </c>
      <c r="L38" s="2" t="s">
        <v>37</v>
      </c>
      <c r="M38" s="2" t="s">
        <v>25</v>
      </c>
    </row>
    <row r="39" spans="1:13" ht="15.75" customHeight="1" x14ac:dyDescent="0.3">
      <c r="A39" s="2" t="s">
        <v>126</v>
      </c>
      <c r="B39" s="2" t="s">
        <v>27</v>
      </c>
      <c r="C39" s="2" t="s">
        <v>127</v>
      </c>
      <c r="D39" s="2" t="s">
        <v>16</v>
      </c>
      <c r="E39" s="2" t="s">
        <v>29</v>
      </c>
      <c r="F39" s="9">
        <v>3138</v>
      </c>
      <c r="G39" s="9">
        <v>123</v>
      </c>
      <c r="H39" s="9">
        <v>291</v>
      </c>
      <c r="I39" s="9">
        <v>28242</v>
      </c>
      <c r="J39" s="9">
        <v>27550</v>
      </c>
      <c r="K39" s="9">
        <v>87</v>
      </c>
      <c r="L39" s="2" t="s">
        <v>30</v>
      </c>
      <c r="M39" s="2" t="s">
        <v>38</v>
      </c>
    </row>
    <row r="40" spans="1:13" ht="15.75" customHeight="1" x14ac:dyDescent="0.3">
      <c r="A40" s="2" t="s">
        <v>128</v>
      </c>
      <c r="B40" s="2" t="s">
        <v>43</v>
      </c>
      <c r="C40" s="2" t="s">
        <v>129</v>
      </c>
      <c r="D40" s="2" t="s">
        <v>52</v>
      </c>
      <c r="E40" s="2" t="s">
        <v>59</v>
      </c>
      <c r="F40" s="9">
        <v>3564</v>
      </c>
      <c r="G40" s="9">
        <v>629</v>
      </c>
      <c r="H40" s="9">
        <v>177</v>
      </c>
      <c r="I40" s="9">
        <v>60588</v>
      </c>
      <c r="J40" s="9">
        <v>59627</v>
      </c>
      <c r="K40" s="9">
        <v>92</v>
      </c>
      <c r="L40" s="2" t="s">
        <v>30</v>
      </c>
    </row>
    <row r="41" spans="1:13" ht="15.75" customHeight="1" x14ac:dyDescent="0.3">
      <c r="A41" s="2" t="s">
        <v>130</v>
      </c>
      <c r="B41" s="2" t="s">
        <v>14</v>
      </c>
      <c r="C41" s="2" t="s">
        <v>131</v>
      </c>
      <c r="D41" s="2" t="s">
        <v>52</v>
      </c>
      <c r="E41" s="2" t="s">
        <v>132</v>
      </c>
      <c r="F41" s="9">
        <v>4750</v>
      </c>
      <c r="G41" s="9">
        <v>151</v>
      </c>
      <c r="H41" s="9">
        <v>415</v>
      </c>
      <c r="I41" s="9">
        <v>38000</v>
      </c>
      <c r="J41" s="9">
        <v>37792</v>
      </c>
      <c r="K41" s="9">
        <v>299</v>
      </c>
      <c r="L41" s="2" t="s">
        <v>37</v>
      </c>
      <c r="M41" s="2" t="s">
        <v>38</v>
      </c>
    </row>
    <row r="42" spans="1:13" ht="15.75" customHeight="1" x14ac:dyDescent="0.3">
      <c r="A42" s="2" t="s">
        <v>133</v>
      </c>
      <c r="B42" s="2" t="s">
        <v>33</v>
      </c>
      <c r="C42" s="2" t="s">
        <v>134</v>
      </c>
      <c r="D42" s="2" t="s">
        <v>16</v>
      </c>
      <c r="E42" s="2" t="s">
        <v>82</v>
      </c>
      <c r="F42" s="9">
        <v>456</v>
      </c>
      <c r="G42" s="9">
        <v>629</v>
      </c>
      <c r="H42" s="9">
        <v>428</v>
      </c>
      <c r="I42" s="9">
        <v>8208</v>
      </c>
      <c r="J42" s="9">
        <v>7377</v>
      </c>
      <c r="K42" s="9">
        <v>205</v>
      </c>
      <c r="L42" s="2" t="s">
        <v>62</v>
      </c>
      <c r="M42" s="2" t="s">
        <v>38</v>
      </c>
    </row>
    <row r="43" spans="1:13" ht="15.75" customHeight="1" x14ac:dyDescent="0.3">
      <c r="A43" s="2" t="s">
        <v>135</v>
      </c>
      <c r="B43" s="2" t="s">
        <v>27</v>
      </c>
      <c r="C43" s="2" t="s">
        <v>136</v>
      </c>
      <c r="D43" s="2" t="s">
        <v>16</v>
      </c>
      <c r="E43" s="2" t="s">
        <v>29</v>
      </c>
      <c r="F43" s="9">
        <v>1543</v>
      </c>
      <c r="G43" s="9">
        <v>820</v>
      </c>
      <c r="H43" s="9">
        <v>333</v>
      </c>
      <c r="I43" s="9">
        <v>12344</v>
      </c>
      <c r="J43" s="9">
        <v>11496</v>
      </c>
      <c r="K43" s="9">
        <v>241</v>
      </c>
      <c r="L43" s="2" t="s">
        <v>37</v>
      </c>
    </row>
    <row r="44" spans="1:13" ht="15.75" customHeight="1" x14ac:dyDescent="0.3">
      <c r="A44" s="2" t="s">
        <v>137</v>
      </c>
      <c r="B44" s="2" t="s">
        <v>33</v>
      </c>
      <c r="C44" s="2" t="s">
        <v>138</v>
      </c>
      <c r="D44" s="2" t="s">
        <v>45</v>
      </c>
      <c r="E44" s="2" t="s">
        <v>88</v>
      </c>
      <c r="F44" s="9">
        <v>2174</v>
      </c>
      <c r="G44" s="9">
        <v>658</v>
      </c>
      <c r="H44" s="9">
        <v>15</v>
      </c>
      <c r="I44" s="9">
        <v>13044</v>
      </c>
      <c r="J44" s="9">
        <v>12206</v>
      </c>
      <c r="K44" s="9">
        <v>137</v>
      </c>
      <c r="L44" s="2" t="s">
        <v>30</v>
      </c>
      <c r="M44" s="2" t="s">
        <v>31</v>
      </c>
    </row>
    <row r="45" spans="1:13" ht="15.75" customHeight="1" x14ac:dyDescent="0.3">
      <c r="A45" s="2" t="s">
        <v>139</v>
      </c>
      <c r="B45" s="2" t="s">
        <v>14</v>
      </c>
      <c r="C45" s="2" t="s">
        <v>140</v>
      </c>
      <c r="D45" s="2" t="s">
        <v>52</v>
      </c>
      <c r="E45" s="2" t="s">
        <v>132</v>
      </c>
      <c r="F45" s="9">
        <v>2358</v>
      </c>
      <c r="G45" s="9">
        <v>784</v>
      </c>
      <c r="H45" s="9">
        <v>344</v>
      </c>
      <c r="I45" s="9">
        <v>35370</v>
      </c>
      <c r="J45" s="9">
        <v>34475</v>
      </c>
      <c r="K45" s="9">
        <v>216</v>
      </c>
      <c r="L45" s="2" t="s">
        <v>30</v>
      </c>
    </row>
    <row r="46" spans="1:13" ht="15.75" customHeight="1" x14ac:dyDescent="0.3">
      <c r="A46" s="2" t="s">
        <v>141</v>
      </c>
      <c r="B46" s="2" t="s">
        <v>43</v>
      </c>
      <c r="C46" s="2" t="s">
        <v>142</v>
      </c>
      <c r="D46" s="2" t="s">
        <v>74</v>
      </c>
      <c r="E46" s="2" t="s">
        <v>75</v>
      </c>
      <c r="F46" s="9">
        <v>3371</v>
      </c>
      <c r="G46" s="9">
        <v>106</v>
      </c>
      <c r="H46" s="9">
        <v>327</v>
      </c>
      <c r="I46" s="9">
        <v>50565</v>
      </c>
      <c r="J46" s="9">
        <v>49816</v>
      </c>
      <c r="K46" s="9">
        <v>176</v>
      </c>
      <c r="L46" s="2" t="s">
        <v>62</v>
      </c>
      <c r="M46" s="2" t="s">
        <v>19</v>
      </c>
    </row>
    <row r="47" spans="1:13" ht="15.75" customHeight="1" x14ac:dyDescent="0.3">
      <c r="A47" s="2" t="s">
        <v>143</v>
      </c>
      <c r="B47" s="2" t="s">
        <v>14</v>
      </c>
      <c r="C47" s="2" t="s">
        <v>144</v>
      </c>
      <c r="D47" s="2" t="s">
        <v>74</v>
      </c>
      <c r="E47" s="2" t="s">
        <v>145</v>
      </c>
      <c r="F47" s="9">
        <v>1108</v>
      </c>
      <c r="G47" s="9">
        <v>177</v>
      </c>
      <c r="H47" s="9">
        <v>212</v>
      </c>
      <c r="I47" s="9">
        <v>8864</v>
      </c>
      <c r="J47" s="9">
        <v>8710</v>
      </c>
      <c r="K47" s="9">
        <v>97</v>
      </c>
      <c r="L47" s="2" t="s">
        <v>30</v>
      </c>
      <c r="M47" s="2" t="s">
        <v>38</v>
      </c>
    </row>
    <row r="48" spans="1:13" ht="15.75" customHeight="1" x14ac:dyDescent="0.3">
      <c r="A48" s="2" t="s">
        <v>146</v>
      </c>
      <c r="B48" s="2" t="s">
        <v>14</v>
      </c>
      <c r="C48" s="2" t="s">
        <v>147</v>
      </c>
      <c r="D48" s="2" t="s">
        <v>45</v>
      </c>
      <c r="E48" s="2" t="s">
        <v>49</v>
      </c>
      <c r="F48" s="9">
        <v>2704</v>
      </c>
      <c r="G48" s="9">
        <v>752</v>
      </c>
      <c r="H48" s="9">
        <v>153</v>
      </c>
      <c r="I48" s="9">
        <v>21632</v>
      </c>
      <c r="J48" s="9">
        <v>20792</v>
      </c>
      <c r="K48" s="9">
        <v>127</v>
      </c>
      <c r="L48" s="2" t="s">
        <v>62</v>
      </c>
    </row>
    <row r="49" spans="1:13" ht="15.75" customHeight="1" x14ac:dyDescent="0.3">
      <c r="A49" s="2" t="s">
        <v>148</v>
      </c>
      <c r="B49" s="2" t="s">
        <v>14</v>
      </c>
      <c r="C49" s="2" t="s">
        <v>58</v>
      </c>
      <c r="D49" s="2" t="s">
        <v>35</v>
      </c>
      <c r="E49" s="2" t="s">
        <v>149</v>
      </c>
      <c r="F49" s="9">
        <v>1950</v>
      </c>
      <c r="G49" s="9">
        <v>295</v>
      </c>
      <c r="H49" s="9">
        <v>478</v>
      </c>
      <c r="I49" s="9">
        <v>37050</v>
      </c>
      <c r="J49" s="9">
        <v>36272</v>
      </c>
      <c r="K49" s="9">
        <v>119</v>
      </c>
      <c r="L49" s="2" t="s">
        <v>30</v>
      </c>
    </row>
    <row r="50" spans="1:13" ht="15.75" customHeight="1" x14ac:dyDescent="0.3">
      <c r="A50" s="2" t="s">
        <v>150</v>
      </c>
      <c r="B50" s="2" t="s">
        <v>14</v>
      </c>
      <c r="C50" s="2" t="s">
        <v>151</v>
      </c>
      <c r="D50" s="2" t="s">
        <v>35</v>
      </c>
      <c r="E50" s="2" t="s">
        <v>149</v>
      </c>
      <c r="F50" s="9">
        <v>2164</v>
      </c>
      <c r="G50" s="9">
        <v>549</v>
      </c>
      <c r="H50" s="9">
        <v>274</v>
      </c>
      <c r="I50" s="9">
        <v>28132</v>
      </c>
      <c r="J50" s="9">
        <v>27361</v>
      </c>
      <c r="K50" s="9">
        <v>177</v>
      </c>
      <c r="L50" s="2" t="s">
        <v>30</v>
      </c>
      <c r="M50" s="2" t="s">
        <v>38</v>
      </c>
    </row>
    <row r="51" spans="1:13" ht="15.75" customHeight="1" x14ac:dyDescent="0.3">
      <c r="A51" s="2" t="s">
        <v>152</v>
      </c>
      <c r="B51" s="2" t="s">
        <v>27</v>
      </c>
      <c r="C51" s="2" t="s">
        <v>153</v>
      </c>
      <c r="D51" s="2" t="s">
        <v>35</v>
      </c>
      <c r="E51" s="2" t="s">
        <v>154</v>
      </c>
      <c r="F51" s="9">
        <v>2754</v>
      </c>
      <c r="G51" s="9">
        <v>130</v>
      </c>
      <c r="H51" s="9">
        <v>90</v>
      </c>
      <c r="I51" s="9">
        <v>22032</v>
      </c>
      <c r="J51" s="9">
        <v>21288</v>
      </c>
      <c r="K51" s="9">
        <v>112</v>
      </c>
      <c r="L51" s="2" t="s">
        <v>30</v>
      </c>
      <c r="M51" s="2" t="s">
        <v>31</v>
      </c>
    </row>
    <row r="52" spans="1:13" ht="15.75" customHeight="1" x14ac:dyDescent="0.3">
      <c r="A52" s="2" t="s">
        <v>155</v>
      </c>
      <c r="B52" s="2" t="s">
        <v>43</v>
      </c>
      <c r="C52" s="2" t="s">
        <v>156</v>
      </c>
      <c r="D52" s="2" t="s">
        <v>45</v>
      </c>
      <c r="E52" s="2" t="s">
        <v>46</v>
      </c>
      <c r="F52" s="9">
        <v>2200</v>
      </c>
      <c r="G52" s="9">
        <v>504</v>
      </c>
      <c r="H52" s="9">
        <v>239</v>
      </c>
      <c r="I52" s="9">
        <v>37400</v>
      </c>
      <c r="J52" s="9">
        <v>36938</v>
      </c>
      <c r="K52" s="9">
        <v>225</v>
      </c>
      <c r="L52" s="2" t="s">
        <v>62</v>
      </c>
      <c r="M52" s="2" t="s">
        <v>25</v>
      </c>
    </row>
    <row r="53" spans="1:13" ht="15.75" customHeight="1" x14ac:dyDescent="0.3">
      <c r="A53" s="2" t="s">
        <v>157</v>
      </c>
      <c r="B53" s="2" t="s">
        <v>43</v>
      </c>
      <c r="C53" s="2" t="s">
        <v>158</v>
      </c>
      <c r="D53" s="2" t="s">
        <v>52</v>
      </c>
      <c r="E53" s="2" t="s">
        <v>59</v>
      </c>
      <c r="F53" s="9">
        <v>947</v>
      </c>
      <c r="G53" s="9">
        <v>338</v>
      </c>
      <c r="H53" s="9">
        <v>350</v>
      </c>
      <c r="I53" s="9">
        <v>10417</v>
      </c>
      <c r="J53" s="9">
        <v>9730</v>
      </c>
      <c r="K53" s="9">
        <v>34</v>
      </c>
      <c r="L53" s="2" t="s">
        <v>30</v>
      </c>
      <c r="M53" s="2" t="s">
        <v>38</v>
      </c>
    </row>
    <row r="54" spans="1:13" ht="15.75" customHeight="1" x14ac:dyDescent="0.3">
      <c r="A54" s="2" t="s">
        <v>159</v>
      </c>
      <c r="B54" s="2" t="s">
        <v>27</v>
      </c>
      <c r="C54" s="2" t="s">
        <v>147</v>
      </c>
      <c r="D54" s="2" t="s">
        <v>45</v>
      </c>
      <c r="E54" s="2" t="s">
        <v>68</v>
      </c>
      <c r="F54" s="9">
        <v>804</v>
      </c>
      <c r="G54" s="9">
        <v>639</v>
      </c>
      <c r="H54" s="9">
        <v>43</v>
      </c>
      <c r="I54" s="9">
        <v>4020</v>
      </c>
      <c r="J54" s="9">
        <v>3144</v>
      </c>
      <c r="K54" s="9">
        <v>11</v>
      </c>
      <c r="L54" s="2" t="s">
        <v>160</v>
      </c>
    </row>
    <row r="55" spans="1:13" ht="15.75" customHeight="1" x14ac:dyDescent="0.3">
      <c r="A55" s="2" t="s">
        <v>161</v>
      </c>
      <c r="B55" s="2" t="s">
        <v>27</v>
      </c>
      <c r="C55" s="2" t="s">
        <v>162</v>
      </c>
      <c r="D55" s="2" t="s">
        <v>45</v>
      </c>
      <c r="E55" s="2" t="s">
        <v>68</v>
      </c>
      <c r="F55" s="9">
        <v>1686</v>
      </c>
      <c r="G55" s="9">
        <v>904</v>
      </c>
      <c r="H55" s="9">
        <v>472</v>
      </c>
      <c r="I55" s="9">
        <v>18546</v>
      </c>
      <c r="J55" s="9">
        <v>18171</v>
      </c>
      <c r="K55" s="9">
        <v>52</v>
      </c>
      <c r="L55" s="2" t="s">
        <v>62</v>
      </c>
      <c r="M55" s="2" t="s">
        <v>25</v>
      </c>
    </row>
    <row r="56" spans="1:13" ht="15.75" customHeight="1" x14ac:dyDescent="0.3">
      <c r="A56" s="2" t="s">
        <v>163</v>
      </c>
      <c r="B56" s="2" t="s">
        <v>43</v>
      </c>
      <c r="C56" s="2" t="s">
        <v>164</v>
      </c>
      <c r="D56" s="2" t="s">
        <v>52</v>
      </c>
      <c r="E56" s="2" t="s">
        <v>59</v>
      </c>
      <c r="F56" s="9">
        <v>1226</v>
      </c>
      <c r="G56" s="9">
        <v>119</v>
      </c>
      <c r="H56" s="9">
        <v>7</v>
      </c>
      <c r="I56" s="9">
        <v>14712</v>
      </c>
      <c r="J56" s="9">
        <v>14049</v>
      </c>
      <c r="K56" s="9">
        <v>123</v>
      </c>
      <c r="L56" s="2" t="s">
        <v>37</v>
      </c>
      <c r="M56" s="2" t="s">
        <v>38</v>
      </c>
    </row>
    <row r="57" spans="1:13" ht="15.75" customHeight="1" x14ac:dyDescent="0.3">
      <c r="A57" s="2" t="s">
        <v>165</v>
      </c>
      <c r="B57" s="2" t="s">
        <v>43</v>
      </c>
      <c r="C57" s="2" t="s">
        <v>166</v>
      </c>
      <c r="D57" s="2" t="s">
        <v>45</v>
      </c>
      <c r="E57" s="2" t="s">
        <v>46</v>
      </c>
      <c r="F57" s="9">
        <v>2946</v>
      </c>
      <c r="G57" s="9">
        <v>498</v>
      </c>
      <c r="H57" s="9">
        <v>367</v>
      </c>
      <c r="I57" s="9">
        <v>29460</v>
      </c>
      <c r="J57" s="9">
        <v>28527</v>
      </c>
      <c r="K57" s="9">
        <v>60</v>
      </c>
      <c r="L57" s="2" t="s">
        <v>62</v>
      </c>
      <c r="M57" s="2" t="s">
        <v>31</v>
      </c>
    </row>
    <row r="58" spans="1:13" ht="15.75" customHeight="1" x14ac:dyDescent="0.3">
      <c r="A58" s="2" t="s">
        <v>167</v>
      </c>
      <c r="B58" s="2" t="s">
        <v>14</v>
      </c>
      <c r="C58" s="2" t="s">
        <v>168</v>
      </c>
      <c r="D58" s="2" t="s">
        <v>74</v>
      </c>
      <c r="E58" s="2" t="s">
        <v>145</v>
      </c>
      <c r="F58" s="9">
        <v>2825</v>
      </c>
      <c r="G58" s="9">
        <v>535</v>
      </c>
      <c r="H58" s="9">
        <v>295</v>
      </c>
      <c r="I58" s="9">
        <v>45200</v>
      </c>
      <c r="J58" s="9">
        <v>44739</v>
      </c>
      <c r="K58" s="9">
        <v>169</v>
      </c>
      <c r="L58" s="2" t="s">
        <v>30</v>
      </c>
      <c r="M58" s="2" t="s">
        <v>19</v>
      </c>
    </row>
    <row r="59" spans="1:13" ht="15.75" customHeight="1" x14ac:dyDescent="0.3">
      <c r="A59" s="2" t="s">
        <v>169</v>
      </c>
      <c r="B59" s="2" t="s">
        <v>33</v>
      </c>
      <c r="C59" s="2" t="s">
        <v>170</v>
      </c>
      <c r="D59" s="2" t="s">
        <v>16</v>
      </c>
      <c r="E59" s="2" t="s">
        <v>82</v>
      </c>
      <c r="F59" s="9">
        <v>103</v>
      </c>
      <c r="G59" s="9">
        <v>770</v>
      </c>
      <c r="H59" s="9">
        <v>19</v>
      </c>
      <c r="I59" s="9">
        <v>1030</v>
      </c>
      <c r="J59" s="9">
        <v>410</v>
      </c>
      <c r="K59" s="9">
        <v>262</v>
      </c>
      <c r="L59" s="2" t="s">
        <v>30</v>
      </c>
      <c r="M59" s="2" t="s">
        <v>38</v>
      </c>
    </row>
    <row r="60" spans="1:13" ht="15.75" customHeight="1" x14ac:dyDescent="0.3">
      <c r="A60" s="2" t="s">
        <v>171</v>
      </c>
      <c r="B60" s="2" t="s">
        <v>33</v>
      </c>
      <c r="C60" s="2" t="s">
        <v>172</v>
      </c>
      <c r="D60" s="2" t="s">
        <v>22</v>
      </c>
      <c r="E60" s="2" t="s">
        <v>113</v>
      </c>
      <c r="F60" s="9">
        <v>2180</v>
      </c>
      <c r="G60" s="9">
        <v>263</v>
      </c>
      <c r="H60" s="9">
        <v>387</v>
      </c>
      <c r="I60" s="9">
        <v>30520</v>
      </c>
      <c r="J60" s="9">
        <v>30059</v>
      </c>
      <c r="K60" s="9">
        <v>174</v>
      </c>
      <c r="L60" s="2" t="s">
        <v>37</v>
      </c>
    </row>
    <row r="61" spans="1:13" ht="15.75" customHeight="1" x14ac:dyDescent="0.3">
      <c r="A61" s="2" t="s">
        <v>173</v>
      </c>
      <c r="B61" s="2" t="s">
        <v>33</v>
      </c>
      <c r="C61" s="2" t="s">
        <v>174</v>
      </c>
      <c r="D61" s="2" t="s">
        <v>74</v>
      </c>
      <c r="E61" s="2" t="s">
        <v>85</v>
      </c>
      <c r="F61" s="9">
        <v>904</v>
      </c>
      <c r="G61" s="9">
        <v>973</v>
      </c>
      <c r="H61" s="9">
        <v>63</v>
      </c>
      <c r="I61" s="9">
        <v>11752</v>
      </c>
      <c r="J61" s="9">
        <v>11580</v>
      </c>
      <c r="K61" s="9">
        <v>84</v>
      </c>
      <c r="L61" s="2" t="s">
        <v>175</v>
      </c>
      <c r="M61" s="2" t="s">
        <v>31</v>
      </c>
    </row>
    <row r="62" spans="1:13" ht="15.75" customHeight="1" x14ac:dyDescent="0.3">
      <c r="A62" s="2" t="s">
        <v>176</v>
      </c>
      <c r="B62" s="2" t="s">
        <v>14</v>
      </c>
      <c r="C62" s="2" t="s">
        <v>177</v>
      </c>
      <c r="D62" s="2" t="s">
        <v>74</v>
      </c>
      <c r="E62" s="2" t="s">
        <v>145</v>
      </c>
      <c r="F62" s="9">
        <v>4886</v>
      </c>
      <c r="G62" s="9">
        <v>983</v>
      </c>
      <c r="H62" s="9">
        <v>409</v>
      </c>
      <c r="I62" s="9">
        <v>43974</v>
      </c>
      <c r="J62" s="9">
        <v>43239</v>
      </c>
      <c r="K62" s="9">
        <v>65</v>
      </c>
      <c r="L62" s="2" t="s">
        <v>30</v>
      </c>
      <c r="M62" s="2" t="s">
        <v>19</v>
      </c>
    </row>
    <row r="63" spans="1:13" ht="15.75" customHeight="1" x14ac:dyDescent="0.3">
      <c r="A63" s="2" t="s">
        <v>178</v>
      </c>
      <c r="B63" s="2" t="s">
        <v>14</v>
      </c>
      <c r="C63" s="2" t="s">
        <v>179</v>
      </c>
      <c r="D63" s="2" t="s">
        <v>45</v>
      </c>
      <c r="E63" s="2" t="s">
        <v>49</v>
      </c>
      <c r="F63" s="9">
        <v>53</v>
      </c>
      <c r="G63" s="9">
        <v>81</v>
      </c>
      <c r="H63" s="9">
        <v>379</v>
      </c>
      <c r="I63" s="9">
        <v>954</v>
      </c>
      <c r="J63" s="9">
        <v>7</v>
      </c>
      <c r="K63" s="9">
        <v>148</v>
      </c>
      <c r="L63" s="2" t="s">
        <v>30</v>
      </c>
      <c r="M63" s="2" t="s">
        <v>31</v>
      </c>
    </row>
    <row r="64" spans="1:13" ht="15.75" customHeight="1" x14ac:dyDescent="0.3">
      <c r="A64" s="2" t="s">
        <v>180</v>
      </c>
      <c r="B64" s="2" t="s">
        <v>14</v>
      </c>
      <c r="C64" s="2" t="s">
        <v>115</v>
      </c>
      <c r="D64" s="2" t="s">
        <v>45</v>
      </c>
      <c r="E64" s="2" t="s">
        <v>49</v>
      </c>
      <c r="F64" s="9">
        <v>4507</v>
      </c>
      <c r="G64" s="9">
        <v>217</v>
      </c>
      <c r="H64" s="9">
        <v>13</v>
      </c>
      <c r="I64" s="9">
        <v>90140</v>
      </c>
      <c r="J64" s="9">
        <v>89591</v>
      </c>
      <c r="K64" s="9">
        <v>125</v>
      </c>
      <c r="L64" s="2" t="s">
        <v>62</v>
      </c>
      <c r="M64" s="2" t="s">
        <v>31</v>
      </c>
    </row>
    <row r="65" spans="1:13" ht="15.75" customHeight="1" x14ac:dyDescent="0.3">
      <c r="A65" s="2" t="s">
        <v>181</v>
      </c>
      <c r="B65" s="2" t="s">
        <v>43</v>
      </c>
      <c r="C65" s="2" t="s">
        <v>182</v>
      </c>
      <c r="D65" s="2" t="s">
        <v>52</v>
      </c>
      <c r="E65" s="2" t="s">
        <v>59</v>
      </c>
      <c r="F65" s="9">
        <v>2878</v>
      </c>
      <c r="G65" s="9">
        <v>248</v>
      </c>
      <c r="H65" s="9">
        <v>416</v>
      </c>
      <c r="I65" s="9">
        <v>43170</v>
      </c>
      <c r="J65" s="9">
        <v>42667</v>
      </c>
      <c r="K65" s="9">
        <v>75</v>
      </c>
      <c r="L65" s="2" t="s">
        <v>62</v>
      </c>
      <c r="M65" s="2" t="s">
        <v>31</v>
      </c>
    </row>
    <row r="66" spans="1:13" ht="15.75" customHeight="1" x14ac:dyDescent="0.3">
      <c r="A66" s="2" t="s">
        <v>183</v>
      </c>
      <c r="B66" s="2" t="s">
        <v>33</v>
      </c>
      <c r="C66" s="2" t="s">
        <v>184</v>
      </c>
      <c r="D66" s="2" t="s">
        <v>35</v>
      </c>
      <c r="E66" s="2" t="s">
        <v>36</v>
      </c>
      <c r="F66" s="9">
        <v>1881</v>
      </c>
      <c r="G66" s="9">
        <v>501</v>
      </c>
      <c r="H66" s="9">
        <v>99</v>
      </c>
      <c r="I66" s="9">
        <v>20691</v>
      </c>
      <c r="J66" s="9">
        <v>19987</v>
      </c>
      <c r="K66" s="9">
        <v>289</v>
      </c>
      <c r="L66" s="2" t="s">
        <v>37</v>
      </c>
    </row>
    <row r="67" spans="1:13" ht="15.75" customHeight="1" x14ac:dyDescent="0.3">
      <c r="A67" s="2" t="s">
        <v>185</v>
      </c>
      <c r="B67" s="2" t="s">
        <v>14</v>
      </c>
      <c r="C67" s="2" t="s">
        <v>186</v>
      </c>
      <c r="D67" s="2" t="s">
        <v>45</v>
      </c>
      <c r="E67" s="2" t="s">
        <v>49</v>
      </c>
      <c r="F67" s="9">
        <v>432</v>
      </c>
      <c r="G67" s="9">
        <v>171</v>
      </c>
      <c r="H67" s="9">
        <v>280</v>
      </c>
      <c r="I67" s="9">
        <v>3024</v>
      </c>
      <c r="J67" s="9">
        <v>2285</v>
      </c>
      <c r="K67" s="9">
        <v>184</v>
      </c>
      <c r="L67" s="2" t="s">
        <v>37</v>
      </c>
      <c r="M67" s="2" t="s">
        <v>19</v>
      </c>
    </row>
    <row r="68" spans="1:13" ht="15.75" customHeight="1" x14ac:dyDescent="0.3">
      <c r="A68" s="2" t="s">
        <v>187</v>
      </c>
      <c r="B68" s="2" t="s">
        <v>43</v>
      </c>
      <c r="C68" s="2" t="s">
        <v>188</v>
      </c>
      <c r="D68" s="2" t="s">
        <v>45</v>
      </c>
      <c r="E68" s="2" t="s">
        <v>46</v>
      </c>
      <c r="F68" s="9">
        <v>4712</v>
      </c>
      <c r="G68" s="9">
        <v>568</v>
      </c>
      <c r="H68" s="9">
        <v>127</v>
      </c>
      <c r="I68" s="9">
        <v>84816</v>
      </c>
      <c r="J68" s="9">
        <v>84691</v>
      </c>
      <c r="K68" s="9">
        <v>100</v>
      </c>
      <c r="L68" s="2" t="s">
        <v>37</v>
      </c>
      <c r="M68" s="2" t="s">
        <v>31</v>
      </c>
    </row>
    <row r="69" spans="1:13" ht="15.75" customHeight="1" x14ac:dyDescent="0.3">
      <c r="A69" s="2" t="s">
        <v>189</v>
      </c>
      <c r="B69" s="2" t="s">
        <v>33</v>
      </c>
      <c r="C69" s="2" t="s">
        <v>190</v>
      </c>
      <c r="D69" s="2" t="s">
        <v>35</v>
      </c>
      <c r="E69" s="2" t="s">
        <v>36</v>
      </c>
      <c r="F69" s="9">
        <v>2610</v>
      </c>
      <c r="G69" s="9">
        <v>126</v>
      </c>
      <c r="H69" s="9">
        <v>288</v>
      </c>
      <c r="I69" s="9">
        <v>15660</v>
      </c>
      <c r="J69" s="9">
        <v>15145</v>
      </c>
      <c r="K69" s="9">
        <v>73</v>
      </c>
      <c r="L69" s="2" t="s">
        <v>37</v>
      </c>
    </row>
    <row r="70" spans="1:13" ht="15.75" customHeight="1" x14ac:dyDescent="0.3">
      <c r="A70" s="2" t="s">
        <v>191</v>
      </c>
      <c r="B70" s="2" t="s">
        <v>14</v>
      </c>
      <c r="C70" s="2" t="s">
        <v>134</v>
      </c>
      <c r="D70" s="2" t="s">
        <v>22</v>
      </c>
      <c r="E70" s="2" t="s">
        <v>23</v>
      </c>
      <c r="F70" s="9">
        <v>1292</v>
      </c>
      <c r="G70" s="9">
        <v>626</v>
      </c>
      <c r="H70" s="9">
        <v>496</v>
      </c>
      <c r="I70" s="9">
        <v>25840</v>
      </c>
      <c r="J70" s="9">
        <v>24916</v>
      </c>
      <c r="K70" s="9">
        <v>149</v>
      </c>
      <c r="L70" s="2" t="s">
        <v>62</v>
      </c>
      <c r="M70" s="2" t="s">
        <v>31</v>
      </c>
    </row>
    <row r="71" spans="1:13" ht="15.75" customHeight="1" x14ac:dyDescent="0.3">
      <c r="A71" s="2" t="s">
        <v>192</v>
      </c>
      <c r="B71" s="2" t="s">
        <v>43</v>
      </c>
      <c r="C71" s="2" t="s">
        <v>193</v>
      </c>
      <c r="D71" s="2" t="s">
        <v>74</v>
      </c>
      <c r="E71" s="2" t="s">
        <v>75</v>
      </c>
      <c r="F71" s="9">
        <v>199</v>
      </c>
      <c r="G71" s="9">
        <v>772</v>
      </c>
      <c r="H71" s="9">
        <v>400</v>
      </c>
      <c r="I71" s="9">
        <v>3582</v>
      </c>
      <c r="J71" s="9">
        <v>2988</v>
      </c>
      <c r="K71" s="9">
        <v>43</v>
      </c>
      <c r="L71" s="2" t="s">
        <v>30</v>
      </c>
    </row>
    <row r="72" spans="1:13" ht="15.75" customHeight="1" x14ac:dyDescent="0.3">
      <c r="A72" s="2" t="s">
        <v>194</v>
      </c>
      <c r="B72" s="2" t="s">
        <v>27</v>
      </c>
      <c r="C72" s="2" t="s">
        <v>195</v>
      </c>
      <c r="D72" s="2" t="s">
        <v>45</v>
      </c>
      <c r="E72" s="2" t="s">
        <v>68</v>
      </c>
      <c r="F72" s="9">
        <v>2551</v>
      </c>
      <c r="G72" s="9">
        <v>915</v>
      </c>
      <c r="H72" s="9">
        <v>205</v>
      </c>
      <c r="I72" s="9">
        <v>30612</v>
      </c>
      <c r="J72" s="9">
        <v>30360</v>
      </c>
      <c r="K72" s="9">
        <v>227</v>
      </c>
      <c r="L72" s="2" t="s">
        <v>30</v>
      </c>
      <c r="M72" s="2" t="s">
        <v>25</v>
      </c>
    </row>
    <row r="73" spans="1:13" ht="15.75" customHeight="1" x14ac:dyDescent="0.3">
      <c r="A73" s="2" t="s">
        <v>196</v>
      </c>
      <c r="B73" s="2" t="s">
        <v>27</v>
      </c>
      <c r="C73" s="2" t="s">
        <v>197</v>
      </c>
      <c r="D73" s="2" t="s">
        <v>16</v>
      </c>
      <c r="E73" s="2" t="s">
        <v>29</v>
      </c>
      <c r="F73" s="9">
        <v>296</v>
      </c>
      <c r="G73" s="9">
        <v>60</v>
      </c>
      <c r="H73" s="9">
        <v>141</v>
      </c>
      <c r="I73" s="9">
        <v>5624</v>
      </c>
      <c r="J73" s="9">
        <v>5239</v>
      </c>
      <c r="K73" s="9">
        <v>88</v>
      </c>
      <c r="L73" s="2" t="s">
        <v>37</v>
      </c>
      <c r="M73" s="2" t="s">
        <v>25</v>
      </c>
    </row>
    <row r="74" spans="1:13" ht="15.75" customHeight="1" x14ac:dyDescent="0.3">
      <c r="A74" s="2" t="s">
        <v>198</v>
      </c>
      <c r="B74" s="2" t="s">
        <v>43</v>
      </c>
      <c r="C74" s="2" t="s">
        <v>199</v>
      </c>
      <c r="D74" s="2" t="s">
        <v>35</v>
      </c>
      <c r="E74" s="2" t="s">
        <v>71</v>
      </c>
      <c r="F74" s="9">
        <v>4126</v>
      </c>
      <c r="G74" s="9">
        <v>426</v>
      </c>
      <c r="H74" s="9">
        <v>486</v>
      </c>
      <c r="I74" s="9">
        <v>78394</v>
      </c>
      <c r="J74" s="9">
        <v>77798</v>
      </c>
      <c r="K74" s="9">
        <v>88</v>
      </c>
      <c r="L74" s="2" t="s">
        <v>62</v>
      </c>
      <c r="M74" s="2" t="s">
        <v>38</v>
      </c>
    </row>
    <row r="75" spans="1:13" ht="15.75" customHeight="1" x14ac:dyDescent="0.3">
      <c r="A75" s="2" t="s">
        <v>200</v>
      </c>
      <c r="B75" s="2" t="s">
        <v>27</v>
      </c>
      <c r="C75" s="2" t="s">
        <v>201</v>
      </c>
      <c r="D75" s="2" t="s">
        <v>16</v>
      </c>
      <c r="E75" s="2" t="s">
        <v>29</v>
      </c>
      <c r="F75" s="9">
        <v>1855</v>
      </c>
      <c r="G75" s="9">
        <v>200</v>
      </c>
      <c r="H75" s="9">
        <v>174</v>
      </c>
      <c r="I75" s="9">
        <v>16695</v>
      </c>
      <c r="J75" s="9">
        <v>16330</v>
      </c>
      <c r="K75" s="9">
        <v>123</v>
      </c>
      <c r="L75" s="2" t="s">
        <v>30</v>
      </c>
      <c r="M75" s="2" t="s">
        <v>31</v>
      </c>
    </row>
    <row r="76" spans="1:13" ht="15.75" customHeight="1" x14ac:dyDescent="0.3">
      <c r="A76" s="2" t="s">
        <v>202</v>
      </c>
      <c r="B76" s="2" t="s">
        <v>33</v>
      </c>
      <c r="C76" s="2" t="s">
        <v>203</v>
      </c>
      <c r="D76" s="2" t="s">
        <v>16</v>
      </c>
      <c r="E76" s="2" t="s">
        <v>82</v>
      </c>
      <c r="F76" s="9">
        <v>1674</v>
      </c>
      <c r="G76" s="9">
        <v>929</v>
      </c>
      <c r="H76" s="9">
        <v>37</v>
      </c>
      <c r="I76" s="9">
        <v>21762</v>
      </c>
      <c r="J76" s="9">
        <v>20998</v>
      </c>
      <c r="K76" s="9">
        <v>255</v>
      </c>
      <c r="L76" s="2" t="s">
        <v>30</v>
      </c>
      <c r="M76" s="2" t="s">
        <v>38</v>
      </c>
    </row>
    <row r="77" spans="1:13" ht="15.75" customHeight="1" x14ac:dyDescent="0.3">
      <c r="A77" s="2" t="s">
        <v>204</v>
      </c>
      <c r="B77" s="2" t="s">
        <v>14</v>
      </c>
      <c r="C77" s="2" t="s">
        <v>205</v>
      </c>
      <c r="D77" s="2" t="s">
        <v>35</v>
      </c>
      <c r="E77" s="2" t="s">
        <v>149</v>
      </c>
      <c r="F77" s="9">
        <v>1121</v>
      </c>
      <c r="G77" s="9">
        <v>135</v>
      </c>
      <c r="H77" s="9">
        <v>18</v>
      </c>
      <c r="I77" s="9">
        <v>15694</v>
      </c>
      <c r="J77" s="9">
        <v>14957</v>
      </c>
      <c r="K77" s="9">
        <v>99</v>
      </c>
      <c r="L77" s="2" t="s">
        <v>30</v>
      </c>
      <c r="M77" s="2" t="s">
        <v>38</v>
      </c>
    </row>
    <row r="78" spans="1:13" ht="15.75" customHeight="1" x14ac:dyDescent="0.3">
      <c r="A78" s="2" t="s">
        <v>206</v>
      </c>
      <c r="B78" s="2" t="s">
        <v>43</v>
      </c>
      <c r="C78" s="2" t="s">
        <v>106</v>
      </c>
      <c r="D78" s="2" t="s">
        <v>35</v>
      </c>
      <c r="E78" s="2" t="s">
        <v>71</v>
      </c>
      <c r="F78" s="9">
        <v>1249</v>
      </c>
      <c r="G78" s="9">
        <v>116</v>
      </c>
      <c r="H78" s="9">
        <v>420</v>
      </c>
      <c r="I78" s="9">
        <v>8743</v>
      </c>
      <c r="J78" s="9">
        <v>8538</v>
      </c>
      <c r="K78" s="9">
        <v>63</v>
      </c>
      <c r="L78" s="2" t="s">
        <v>30</v>
      </c>
    </row>
    <row r="79" spans="1:13" ht="15.75" customHeight="1" x14ac:dyDescent="0.3">
      <c r="A79" s="2" t="s">
        <v>207</v>
      </c>
      <c r="B79" s="2" t="s">
        <v>14</v>
      </c>
      <c r="C79" s="2" t="s">
        <v>164</v>
      </c>
      <c r="D79" s="2" t="s">
        <v>52</v>
      </c>
      <c r="E79" s="2" t="s">
        <v>132</v>
      </c>
      <c r="F79" s="9">
        <v>954</v>
      </c>
      <c r="G79" s="9">
        <v>324</v>
      </c>
      <c r="H79" s="9">
        <v>288</v>
      </c>
      <c r="I79" s="9">
        <v>19080</v>
      </c>
      <c r="J79" s="9">
        <v>18859</v>
      </c>
      <c r="K79" s="9">
        <v>21</v>
      </c>
      <c r="L79" s="2" t="s">
        <v>62</v>
      </c>
      <c r="M79" s="2" t="s">
        <v>38</v>
      </c>
    </row>
    <row r="80" spans="1:13" ht="15.75" customHeight="1" x14ac:dyDescent="0.3">
      <c r="A80" s="2" t="s">
        <v>208</v>
      </c>
      <c r="B80" s="2" t="s">
        <v>33</v>
      </c>
      <c r="C80" s="2" t="s">
        <v>209</v>
      </c>
      <c r="D80" s="2" t="s">
        <v>45</v>
      </c>
      <c r="E80" s="2" t="s">
        <v>88</v>
      </c>
      <c r="F80" s="9">
        <v>3068</v>
      </c>
      <c r="G80" s="9">
        <v>137</v>
      </c>
      <c r="H80" s="9">
        <v>329</v>
      </c>
      <c r="I80" s="9">
        <v>39884</v>
      </c>
      <c r="J80" s="9">
        <v>39404</v>
      </c>
      <c r="K80" s="9">
        <v>266</v>
      </c>
      <c r="L80" s="2" t="s">
        <v>37</v>
      </c>
      <c r="M80" s="2" t="s">
        <v>25</v>
      </c>
    </row>
    <row r="81" spans="1:13" ht="15.75" customHeight="1" x14ac:dyDescent="0.3">
      <c r="A81" s="2" t="s">
        <v>210</v>
      </c>
      <c r="B81" s="2" t="s">
        <v>33</v>
      </c>
      <c r="C81" s="2" t="s">
        <v>156</v>
      </c>
      <c r="D81" s="2" t="s">
        <v>35</v>
      </c>
      <c r="E81" s="2" t="s">
        <v>36</v>
      </c>
      <c r="F81" s="9">
        <v>2103</v>
      </c>
      <c r="G81" s="9">
        <v>892</v>
      </c>
      <c r="H81" s="9">
        <v>103</v>
      </c>
      <c r="I81" s="9">
        <v>39957</v>
      </c>
      <c r="J81" s="9">
        <v>39466</v>
      </c>
      <c r="K81" s="9">
        <v>28</v>
      </c>
      <c r="L81" s="2" t="s">
        <v>62</v>
      </c>
    </row>
    <row r="82" spans="1:13" ht="15.75" customHeight="1" x14ac:dyDescent="0.3">
      <c r="A82" s="2" t="s">
        <v>211</v>
      </c>
      <c r="B82" s="2" t="s">
        <v>33</v>
      </c>
      <c r="C82" s="2" t="s">
        <v>212</v>
      </c>
      <c r="D82" s="2" t="s">
        <v>35</v>
      </c>
      <c r="E82" s="2" t="s">
        <v>36</v>
      </c>
      <c r="F82" s="9">
        <v>1816</v>
      </c>
      <c r="G82" s="9">
        <v>29</v>
      </c>
      <c r="H82" s="9">
        <v>41</v>
      </c>
      <c r="I82" s="9">
        <v>19976</v>
      </c>
      <c r="J82" s="9">
        <v>19262</v>
      </c>
      <c r="K82" s="9">
        <v>283</v>
      </c>
      <c r="L82" s="2" t="s">
        <v>30</v>
      </c>
      <c r="M82" s="2" t="s">
        <v>31</v>
      </c>
    </row>
    <row r="83" spans="1:13" ht="15.75" customHeight="1" x14ac:dyDescent="0.3">
      <c r="A83" s="2" t="s">
        <v>213</v>
      </c>
      <c r="B83" s="2" t="s">
        <v>33</v>
      </c>
      <c r="C83" s="2" t="s">
        <v>214</v>
      </c>
      <c r="D83" s="2" t="s">
        <v>52</v>
      </c>
      <c r="E83" s="2" t="s">
        <v>215</v>
      </c>
      <c r="F83" s="9">
        <v>725</v>
      </c>
      <c r="G83" s="9">
        <v>88</v>
      </c>
      <c r="H83" s="9">
        <v>428</v>
      </c>
      <c r="I83" s="9">
        <v>14500</v>
      </c>
      <c r="J83" s="9">
        <v>13637</v>
      </c>
      <c r="K83" s="9">
        <v>200</v>
      </c>
      <c r="L83" s="2" t="s">
        <v>216</v>
      </c>
      <c r="M83" s="2" t="s">
        <v>31</v>
      </c>
    </row>
    <row r="84" spans="1:13" ht="15.75" customHeight="1" x14ac:dyDescent="0.3">
      <c r="A84" s="2" t="s">
        <v>217</v>
      </c>
      <c r="B84" s="2" t="s">
        <v>27</v>
      </c>
      <c r="C84" s="2" t="s">
        <v>218</v>
      </c>
      <c r="D84" s="2" t="s">
        <v>74</v>
      </c>
      <c r="E84" s="2" t="s">
        <v>219</v>
      </c>
      <c r="F84" s="9">
        <v>1094</v>
      </c>
      <c r="G84" s="9">
        <v>472</v>
      </c>
      <c r="H84" s="9">
        <v>21</v>
      </c>
      <c r="I84" s="9">
        <v>9846</v>
      </c>
      <c r="J84" s="9">
        <v>9609</v>
      </c>
      <c r="K84" s="9">
        <v>112</v>
      </c>
      <c r="L84" s="2" t="s">
        <v>37</v>
      </c>
    </row>
    <row r="85" spans="1:13" ht="15.75" customHeight="1" x14ac:dyDescent="0.3">
      <c r="A85" s="2" t="s">
        <v>220</v>
      </c>
      <c r="B85" s="2" t="s">
        <v>43</v>
      </c>
      <c r="C85" s="2" t="s">
        <v>221</v>
      </c>
      <c r="D85" s="2" t="s">
        <v>52</v>
      </c>
      <c r="E85" s="2" t="s">
        <v>59</v>
      </c>
      <c r="F85" s="9">
        <v>1841</v>
      </c>
      <c r="G85" s="9">
        <v>851</v>
      </c>
      <c r="H85" s="9">
        <v>342</v>
      </c>
      <c r="I85" s="9">
        <v>34979</v>
      </c>
      <c r="J85" s="9">
        <v>34154</v>
      </c>
      <c r="K85" s="9">
        <v>255</v>
      </c>
      <c r="L85" s="2" t="s">
        <v>62</v>
      </c>
      <c r="M85" s="2" t="s">
        <v>38</v>
      </c>
    </row>
    <row r="86" spans="1:13" ht="15.75" customHeight="1" x14ac:dyDescent="0.3">
      <c r="A86" s="2" t="s">
        <v>222</v>
      </c>
      <c r="B86" s="2" t="s">
        <v>33</v>
      </c>
      <c r="C86" s="2" t="s">
        <v>123</v>
      </c>
      <c r="D86" s="2" t="s">
        <v>52</v>
      </c>
      <c r="E86" s="2" t="s">
        <v>215</v>
      </c>
      <c r="F86" s="9">
        <v>4177</v>
      </c>
      <c r="G86" s="9">
        <v>569</v>
      </c>
      <c r="H86" s="9">
        <v>55</v>
      </c>
      <c r="I86" s="9">
        <v>25062</v>
      </c>
      <c r="J86" s="9">
        <v>24847</v>
      </c>
      <c r="K86" s="9">
        <v>230</v>
      </c>
      <c r="L86" s="2" t="s">
        <v>62</v>
      </c>
      <c r="M86" s="2" t="s">
        <v>19</v>
      </c>
    </row>
    <row r="87" spans="1:13" ht="15.75" customHeight="1" x14ac:dyDescent="0.3">
      <c r="A87" s="2" t="s">
        <v>223</v>
      </c>
      <c r="B87" s="2" t="s">
        <v>27</v>
      </c>
      <c r="C87" s="2" t="s">
        <v>224</v>
      </c>
      <c r="D87" s="2" t="s">
        <v>22</v>
      </c>
      <c r="E87" s="2" t="s">
        <v>104</v>
      </c>
      <c r="F87" s="9">
        <v>3428</v>
      </c>
      <c r="G87" s="9">
        <v>305</v>
      </c>
      <c r="H87" s="9">
        <v>85</v>
      </c>
      <c r="I87" s="9">
        <v>58276</v>
      </c>
      <c r="J87" s="9">
        <v>58052</v>
      </c>
      <c r="K87" s="9">
        <v>242</v>
      </c>
      <c r="L87" s="2" t="s">
        <v>160</v>
      </c>
      <c r="M87" s="2" t="s">
        <v>38</v>
      </c>
    </row>
    <row r="88" spans="1:13" ht="15.75" customHeight="1" x14ac:dyDescent="0.3">
      <c r="A88" s="2" t="s">
        <v>225</v>
      </c>
      <c r="B88" s="2" t="s">
        <v>14</v>
      </c>
      <c r="C88" s="2" t="s">
        <v>226</v>
      </c>
      <c r="D88" s="2" t="s">
        <v>74</v>
      </c>
      <c r="E88" s="2" t="s">
        <v>145</v>
      </c>
      <c r="F88" s="9">
        <v>1436</v>
      </c>
      <c r="G88" s="9">
        <v>765</v>
      </c>
      <c r="H88" s="9">
        <v>496</v>
      </c>
      <c r="I88" s="9">
        <v>12924</v>
      </c>
      <c r="J88" s="9">
        <v>12701</v>
      </c>
      <c r="K88" s="9">
        <v>197</v>
      </c>
      <c r="L88" s="2" t="s">
        <v>62</v>
      </c>
      <c r="M88" s="2" t="s">
        <v>31</v>
      </c>
    </row>
    <row r="89" spans="1:13" ht="15.75" customHeight="1" x14ac:dyDescent="0.3">
      <c r="A89" s="2" t="s">
        <v>227</v>
      </c>
      <c r="B89" s="2" t="s">
        <v>43</v>
      </c>
      <c r="C89" s="2" t="s">
        <v>228</v>
      </c>
      <c r="D89" s="2" t="s">
        <v>35</v>
      </c>
      <c r="E89" s="2" t="s">
        <v>71</v>
      </c>
      <c r="F89" s="9">
        <v>302</v>
      </c>
      <c r="G89" s="9">
        <v>47</v>
      </c>
      <c r="H89" s="9">
        <v>430</v>
      </c>
      <c r="I89" s="9">
        <v>5738</v>
      </c>
      <c r="J89" s="9">
        <v>4890</v>
      </c>
      <c r="K89" s="9">
        <v>25</v>
      </c>
      <c r="L89" s="2" t="s">
        <v>30</v>
      </c>
      <c r="M89" s="2" t="s">
        <v>38</v>
      </c>
    </row>
    <row r="90" spans="1:13" ht="15.75" customHeight="1" x14ac:dyDescent="0.3">
      <c r="A90" s="2" t="s">
        <v>229</v>
      </c>
      <c r="B90" s="2" t="s">
        <v>14</v>
      </c>
      <c r="C90" s="2" t="s">
        <v>230</v>
      </c>
      <c r="D90" s="2" t="s">
        <v>52</v>
      </c>
      <c r="E90" s="2" t="s">
        <v>132</v>
      </c>
      <c r="F90" s="9">
        <v>2214</v>
      </c>
      <c r="G90" s="9">
        <v>249</v>
      </c>
      <c r="H90" s="9">
        <v>152</v>
      </c>
      <c r="I90" s="9">
        <v>15498</v>
      </c>
      <c r="J90" s="9">
        <v>14800</v>
      </c>
      <c r="K90" s="9">
        <v>180</v>
      </c>
      <c r="L90" s="2" t="s">
        <v>37</v>
      </c>
    </row>
    <row r="91" spans="1:13" ht="15.75" customHeight="1" x14ac:dyDescent="0.3">
      <c r="A91" s="2" t="s">
        <v>231</v>
      </c>
      <c r="B91" s="2" t="s">
        <v>33</v>
      </c>
      <c r="C91" s="2" t="s">
        <v>232</v>
      </c>
      <c r="D91" s="2" t="s">
        <v>52</v>
      </c>
      <c r="E91" s="2" t="s">
        <v>215</v>
      </c>
      <c r="F91" s="9">
        <v>3861</v>
      </c>
      <c r="G91" s="9">
        <v>960</v>
      </c>
      <c r="H91" s="9">
        <v>101</v>
      </c>
      <c r="I91" s="9">
        <v>69498</v>
      </c>
      <c r="J91" s="9">
        <v>68817</v>
      </c>
      <c r="K91" s="9">
        <v>297</v>
      </c>
      <c r="L91" s="2" t="s">
        <v>30</v>
      </c>
      <c r="M91" s="2" t="s">
        <v>38</v>
      </c>
    </row>
    <row r="92" spans="1:13" ht="15.75" customHeight="1" x14ac:dyDescent="0.3">
      <c r="A92" s="2" t="s">
        <v>233</v>
      </c>
      <c r="B92" s="2" t="s">
        <v>43</v>
      </c>
      <c r="C92" s="2" t="s">
        <v>234</v>
      </c>
      <c r="D92" s="2" t="s">
        <v>52</v>
      </c>
      <c r="E92" s="2" t="s">
        <v>59</v>
      </c>
      <c r="F92" s="9">
        <v>1263</v>
      </c>
      <c r="G92" s="9">
        <v>397</v>
      </c>
      <c r="H92" s="9">
        <v>357</v>
      </c>
      <c r="I92" s="9">
        <v>25260</v>
      </c>
      <c r="J92" s="9">
        <v>24615</v>
      </c>
      <c r="K92" s="9">
        <v>137</v>
      </c>
      <c r="L92" s="2" t="s">
        <v>37</v>
      </c>
      <c r="M92" s="2" t="s">
        <v>38</v>
      </c>
    </row>
    <row r="93" spans="1:13" ht="15.75" customHeight="1" x14ac:dyDescent="0.3">
      <c r="A93" s="2" t="s">
        <v>235</v>
      </c>
      <c r="B93" s="2" t="s">
        <v>14</v>
      </c>
      <c r="C93" s="2" t="s">
        <v>168</v>
      </c>
      <c r="D93" s="2" t="s">
        <v>35</v>
      </c>
      <c r="E93" s="2" t="s">
        <v>149</v>
      </c>
      <c r="F93" s="9">
        <v>3801</v>
      </c>
      <c r="G93" s="9">
        <v>967</v>
      </c>
      <c r="H93" s="9">
        <v>401</v>
      </c>
      <c r="I93" s="9">
        <v>38010</v>
      </c>
      <c r="J93" s="9">
        <v>37625</v>
      </c>
      <c r="K93" s="9">
        <v>236</v>
      </c>
      <c r="L93" s="2" t="s">
        <v>62</v>
      </c>
      <c r="M93" s="2" t="s">
        <v>31</v>
      </c>
    </row>
    <row r="94" spans="1:13" ht="15.75" customHeight="1" x14ac:dyDescent="0.3">
      <c r="A94" s="2" t="s">
        <v>236</v>
      </c>
      <c r="B94" s="2" t="s">
        <v>33</v>
      </c>
      <c r="C94" s="2" t="s">
        <v>237</v>
      </c>
      <c r="D94" s="2" t="s">
        <v>74</v>
      </c>
      <c r="E94" s="2" t="s">
        <v>85</v>
      </c>
      <c r="F94" s="9">
        <v>1431</v>
      </c>
      <c r="G94" s="9">
        <v>951</v>
      </c>
      <c r="H94" s="9">
        <v>26</v>
      </c>
      <c r="I94" s="9">
        <v>8586</v>
      </c>
      <c r="J94" s="9">
        <v>8396</v>
      </c>
      <c r="K94" s="9">
        <v>150</v>
      </c>
      <c r="L94" s="2" t="s">
        <v>37</v>
      </c>
      <c r="M94" s="2" t="s">
        <v>31</v>
      </c>
    </row>
    <row r="95" spans="1:13" ht="15.75" customHeight="1" x14ac:dyDescent="0.3">
      <c r="A95" s="2" t="s">
        <v>238</v>
      </c>
      <c r="B95" s="2" t="s">
        <v>33</v>
      </c>
      <c r="C95" s="2" t="s">
        <v>205</v>
      </c>
      <c r="D95" s="2" t="s">
        <v>52</v>
      </c>
      <c r="E95" s="2" t="s">
        <v>215</v>
      </c>
      <c r="F95" s="9">
        <v>2647</v>
      </c>
      <c r="G95" s="9">
        <v>304</v>
      </c>
      <c r="H95" s="9">
        <v>170</v>
      </c>
      <c r="I95" s="9">
        <v>18529</v>
      </c>
      <c r="J95" s="9">
        <v>17841</v>
      </c>
      <c r="K95" s="9">
        <v>46</v>
      </c>
      <c r="L95" s="2" t="s">
        <v>62</v>
      </c>
      <c r="M95" s="2" t="s">
        <v>31</v>
      </c>
    </row>
    <row r="96" spans="1:13" ht="15.75" customHeight="1" x14ac:dyDescent="0.3">
      <c r="A96" s="2" t="s">
        <v>239</v>
      </c>
      <c r="B96" s="2" t="s">
        <v>33</v>
      </c>
      <c r="C96" s="2" t="s">
        <v>240</v>
      </c>
      <c r="D96" s="2" t="s">
        <v>22</v>
      </c>
      <c r="E96" s="2" t="s">
        <v>113</v>
      </c>
      <c r="F96" s="9">
        <v>3182</v>
      </c>
      <c r="G96" s="9">
        <v>559</v>
      </c>
      <c r="H96" s="9">
        <v>160</v>
      </c>
      <c r="I96" s="9">
        <v>57276</v>
      </c>
      <c r="J96" s="9">
        <v>56890</v>
      </c>
      <c r="K96" s="9">
        <v>163</v>
      </c>
      <c r="L96" s="2" t="s">
        <v>62</v>
      </c>
      <c r="M96" s="2" t="s">
        <v>38</v>
      </c>
    </row>
    <row r="97" spans="1:13" ht="15.75" customHeight="1" x14ac:dyDescent="0.3">
      <c r="A97" s="2" t="s">
        <v>241</v>
      </c>
      <c r="B97" s="2" t="s">
        <v>14</v>
      </c>
      <c r="C97" s="2" t="s">
        <v>242</v>
      </c>
      <c r="D97" s="2" t="s">
        <v>52</v>
      </c>
      <c r="E97" s="2" t="s">
        <v>132</v>
      </c>
      <c r="F97" s="9">
        <v>1238</v>
      </c>
      <c r="G97" s="9">
        <v>366</v>
      </c>
      <c r="H97" s="9">
        <v>444</v>
      </c>
      <c r="I97" s="9">
        <v>19808</v>
      </c>
      <c r="J97" s="9">
        <v>19334</v>
      </c>
      <c r="K97" s="9">
        <v>123</v>
      </c>
      <c r="L97" s="2" t="s">
        <v>62</v>
      </c>
    </row>
    <row r="98" spans="1:13" ht="15.75" customHeight="1" x14ac:dyDescent="0.3">
      <c r="A98" s="2" t="s">
        <v>243</v>
      </c>
      <c r="B98" s="2" t="s">
        <v>33</v>
      </c>
      <c r="C98" s="2" t="s">
        <v>244</v>
      </c>
      <c r="D98" s="2" t="s">
        <v>52</v>
      </c>
      <c r="E98" s="2" t="s">
        <v>215</v>
      </c>
      <c r="F98" s="9">
        <v>4739</v>
      </c>
      <c r="G98" s="9">
        <v>527</v>
      </c>
      <c r="H98" s="9">
        <v>135</v>
      </c>
      <c r="I98" s="9">
        <v>61607</v>
      </c>
      <c r="J98" s="9">
        <v>61333</v>
      </c>
      <c r="K98" s="9">
        <v>36</v>
      </c>
      <c r="L98" s="2" t="s">
        <v>95</v>
      </c>
      <c r="M98" s="2" t="s">
        <v>25</v>
      </c>
    </row>
    <row r="99" spans="1:13" ht="15.75" customHeight="1" x14ac:dyDescent="0.3">
      <c r="A99" s="2" t="s">
        <v>245</v>
      </c>
      <c r="B99" s="2" t="s">
        <v>14</v>
      </c>
      <c r="C99" s="2" t="s">
        <v>151</v>
      </c>
      <c r="D99" s="2" t="s">
        <v>35</v>
      </c>
      <c r="E99" s="2" t="s">
        <v>149</v>
      </c>
      <c r="F99" s="9">
        <v>1575</v>
      </c>
      <c r="G99" s="9">
        <v>771</v>
      </c>
      <c r="H99" s="9">
        <v>486</v>
      </c>
      <c r="I99" s="9">
        <v>25200</v>
      </c>
      <c r="J99" s="9">
        <v>24826</v>
      </c>
      <c r="K99" s="9">
        <v>17</v>
      </c>
      <c r="L99" s="2" t="s">
        <v>62</v>
      </c>
      <c r="M99" s="2" t="s">
        <v>38</v>
      </c>
    </row>
    <row r="100" spans="1:13" ht="15.75" customHeight="1" x14ac:dyDescent="0.3">
      <c r="A100" s="2" t="s">
        <v>246</v>
      </c>
      <c r="B100" s="2" t="s">
        <v>27</v>
      </c>
      <c r="C100" s="2" t="s">
        <v>247</v>
      </c>
      <c r="D100" s="2" t="s">
        <v>45</v>
      </c>
      <c r="E100" s="2" t="s">
        <v>68</v>
      </c>
      <c r="F100" s="9">
        <v>4171</v>
      </c>
      <c r="G100" s="9">
        <v>548</v>
      </c>
      <c r="H100" s="9">
        <v>86</v>
      </c>
      <c r="I100" s="9">
        <v>66736</v>
      </c>
      <c r="J100" s="9">
        <v>66634</v>
      </c>
      <c r="K100" s="9">
        <v>173</v>
      </c>
      <c r="L100" s="2" t="s">
        <v>62</v>
      </c>
      <c r="M100" s="2" t="s">
        <v>31</v>
      </c>
    </row>
    <row r="101" spans="1:13" ht="15.75" customHeight="1" x14ac:dyDescent="0.3">
      <c r="A101" s="2" t="s">
        <v>248</v>
      </c>
      <c r="B101" s="2" t="s">
        <v>27</v>
      </c>
      <c r="C101" s="2" t="s">
        <v>249</v>
      </c>
      <c r="D101" s="2" t="s">
        <v>74</v>
      </c>
      <c r="E101" s="2" t="s">
        <v>219</v>
      </c>
      <c r="F101" s="9">
        <v>1766</v>
      </c>
      <c r="G101" s="9">
        <v>92</v>
      </c>
      <c r="H101" s="9">
        <v>424</v>
      </c>
      <c r="I101" s="9">
        <v>24724</v>
      </c>
      <c r="J101" s="9">
        <v>24333</v>
      </c>
      <c r="K101" s="9">
        <v>52</v>
      </c>
      <c r="L101" s="2" t="s">
        <v>37</v>
      </c>
    </row>
    <row r="102" spans="1:13" ht="15.75" customHeight="1" x14ac:dyDescent="0.3">
      <c r="A102" s="2" t="s">
        <v>250</v>
      </c>
      <c r="B102" s="2" t="s">
        <v>27</v>
      </c>
      <c r="C102" s="2" t="s">
        <v>199</v>
      </c>
      <c r="D102" s="2" t="s">
        <v>74</v>
      </c>
      <c r="E102" s="2" t="s">
        <v>219</v>
      </c>
      <c r="F102" s="9">
        <v>4450</v>
      </c>
      <c r="G102" s="9">
        <v>983</v>
      </c>
      <c r="H102" s="9">
        <v>143</v>
      </c>
      <c r="I102" s="9">
        <v>75650</v>
      </c>
      <c r="J102" s="9">
        <v>75008</v>
      </c>
      <c r="K102" s="9">
        <v>12</v>
      </c>
      <c r="L102" s="2" t="s">
        <v>62</v>
      </c>
      <c r="M102" s="2" t="s">
        <v>31</v>
      </c>
    </row>
    <row r="103" spans="1:13" ht="15.75" customHeight="1" x14ac:dyDescent="0.3">
      <c r="A103" s="2" t="s">
        <v>251</v>
      </c>
      <c r="B103" s="2" t="s">
        <v>14</v>
      </c>
      <c r="C103" s="2" t="s">
        <v>252</v>
      </c>
      <c r="D103" s="2" t="s">
        <v>16</v>
      </c>
      <c r="E103" s="2" t="s">
        <v>17</v>
      </c>
      <c r="F103" s="9">
        <v>1000</v>
      </c>
      <c r="G103" s="9">
        <v>978</v>
      </c>
      <c r="H103" s="9">
        <v>162</v>
      </c>
      <c r="I103" s="9">
        <v>6000</v>
      </c>
      <c r="J103" s="9">
        <v>5221</v>
      </c>
      <c r="K103" s="9">
        <v>223</v>
      </c>
      <c r="L103" s="2" t="s">
        <v>37</v>
      </c>
      <c r="M103" s="2" t="s">
        <v>25</v>
      </c>
    </row>
    <row r="104" spans="1:13" ht="15.75" customHeight="1" x14ac:dyDescent="0.3">
      <c r="A104" s="2" t="s">
        <v>253</v>
      </c>
      <c r="B104" s="2" t="s">
        <v>43</v>
      </c>
      <c r="C104" s="2" t="s">
        <v>254</v>
      </c>
      <c r="D104" s="2" t="s">
        <v>52</v>
      </c>
      <c r="E104" s="2" t="s">
        <v>59</v>
      </c>
      <c r="F104" s="9">
        <v>3689</v>
      </c>
      <c r="G104" s="9">
        <v>48</v>
      </c>
      <c r="H104" s="9">
        <v>306</v>
      </c>
      <c r="I104" s="9">
        <v>40579</v>
      </c>
      <c r="J104" s="9">
        <v>39588</v>
      </c>
      <c r="K104" s="9">
        <v>212</v>
      </c>
      <c r="L104" s="2" t="s">
        <v>37</v>
      </c>
      <c r="M104" s="2" t="s">
        <v>25</v>
      </c>
    </row>
    <row r="105" spans="1:13" ht="15.75" customHeight="1" x14ac:dyDescent="0.3">
      <c r="A105" s="2" t="s">
        <v>255</v>
      </c>
      <c r="B105" s="2" t="s">
        <v>27</v>
      </c>
      <c r="C105" s="2" t="s">
        <v>256</v>
      </c>
      <c r="D105" s="2" t="s">
        <v>35</v>
      </c>
      <c r="E105" s="2" t="s">
        <v>154</v>
      </c>
      <c r="F105" s="9">
        <v>3655</v>
      </c>
      <c r="G105" s="9">
        <v>568</v>
      </c>
      <c r="H105" s="9">
        <v>286</v>
      </c>
      <c r="I105" s="9">
        <v>32895</v>
      </c>
      <c r="J105" s="9">
        <v>32015</v>
      </c>
      <c r="K105" s="9">
        <v>199</v>
      </c>
      <c r="L105" s="2" t="s">
        <v>30</v>
      </c>
      <c r="M105" s="2" t="s">
        <v>31</v>
      </c>
    </row>
    <row r="106" spans="1:13" ht="15.75" customHeight="1" x14ac:dyDescent="0.3">
      <c r="A106" s="2" t="s">
        <v>257</v>
      </c>
      <c r="B106" s="2" t="s">
        <v>33</v>
      </c>
      <c r="C106" s="2" t="s">
        <v>258</v>
      </c>
      <c r="D106" s="2" t="s">
        <v>45</v>
      </c>
      <c r="E106" s="2" t="s">
        <v>88</v>
      </c>
      <c r="F106" s="9">
        <v>498</v>
      </c>
      <c r="G106" s="9">
        <v>38</v>
      </c>
      <c r="H106" s="9">
        <v>42</v>
      </c>
      <c r="I106" s="9">
        <v>4482</v>
      </c>
      <c r="J106" s="9">
        <v>3647</v>
      </c>
      <c r="K106" s="9">
        <v>32</v>
      </c>
      <c r="L106" s="2" t="s">
        <v>62</v>
      </c>
      <c r="M106" s="2" t="s">
        <v>19</v>
      </c>
    </row>
    <row r="107" spans="1:13" ht="15.75" customHeight="1" x14ac:dyDescent="0.3">
      <c r="A107" s="2" t="s">
        <v>259</v>
      </c>
      <c r="B107" s="2" t="s">
        <v>33</v>
      </c>
      <c r="C107" s="2" t="s">
        <v>260</v>
      </c>
      <c r="D107" s="2" t="s">
        <v>52</v>
      </c>
      <c r="E107" s="2" t="s">
        <v>215</v>
      </c>
      <c r="F107" s="9">
        <v>4619</v>
      </c>
      <c r="G107" s="9">
        <v>821</v>
      </c>
      <c r="H107" s="9">
        <v>499</v>
      </c>
      <c r="I107" s="9">
        <v>69285</v>
      </c>
      <c r="J107" s="9">
        <v>69141</v>
      </c>
      <c r="K107" s="9">
        <v>298</v>
      </c>
      <c r="L107" s="2" t="s">
        <v>30</v>
      </c>
      <c r="M107" s="2" t="s">
        <v>38</v>
      </c>
    </row>
    <row r="108" spans="1:13" ht="15.75" customHeight="1" x14ac:dyDescent="0.3">
      <c r="A108" s="2" t="s">
        <v>261</v>
      </c>
      <c r="B108" s="2" t="s">
        <v>27</v>
      </c>
      <c r="C108" s="2" t="s">
        <v>262</v>
      </c>
      <c r="D108" s="2" t="s">
        <v>52</v>
      </c>
      <c r="E108" s="2" t="s">
        <v>53</v>
      </c>
      <c r="F108" s="9">
        <v>4832</v>
      </c>
      <c r="G108" s="9">
        <v>893</v>
      </c>
      <c r="H108" s="9">
        <v>10</v>
      </c>
      <c r="I108" s="9">
        <v>91808</v>
      </c>
      <c r="J108" s="9">
        <v>91296</v>
      </c>
      <c r="K108" s="9">
        <v>182</v>
      </c>
      <c r="L108" s="2" t="s">
        <v>30</v>
      </c>
    </row>
    <row r="109" spans="1:13" ht="15.75" customHeight="1" x14ac:dyDescent="0.3">
      <c r="A109" s="2" t="s">
        <v>263</v>
      </c>
      <c r="B109" s="2" t="s">
        <v>14</v>
      </c>
      <c r="C109" s="2" t="s">
        <v>264</v>
      </c>
      <c r="D109" s="2" t="s">
        <v>74</v>
      </c>
      <c r="E109" s="2" t="s">
        <v>145</v>
      </c>
      <c r="F109" s="9">
        <v>4050</v>
      </c>
      <c r="G109" s="9">
        <v>871</v>
      </c>
      <c r="H109" s="9">
        <v>347</v>
      </c>
      <c r="I109" s="9">
        <v>52650</v>
      </c>
      <c r="J109" s="9">
        <v>51755</v>
      </c>
      <c r="K109" s="9">
        <v>209</v>
      </c>
      <c r="L109" s="2" t="s">
        <v>30</v>
      </c>
      <c r="M109" s="2" t="s">
        <v>25</v>
      </c>
    </row>
    <row r="110" spans="1:13" ht="15.75" customHeight="1" x14ac:dyDescent="0.3">
      <c r="A110" s="2" t="s">
        <v>265</v>
      </c>
      <c r="B110" s="2" t="s">
        <v>14</v>
      </c>
      <c r="C110" s="2" t="s">
        <v>266</v>
      </c>
      <c r="D110" s="2" t="s">
        <v>35</v>
      </c>
      <c r="E110" s="2" t="s">
        <v>149</v>
      </c>
      <c r="F110" s="9">
        <v>3649</v>
      </c>
      <c r="G110" s="9">
        <v>215</v>
      </c>
      <c r="H110" s="9">
        <v>413</v>
      </c>
      <c r="I110" s="9">
        <v>25543</v>
      </c>
      <c r="J110" s="9">
        <v>24963</v>
      </c>
      <c r="K110" s="9">
        <v>167</v>
      </c>
      <c r="L110" s="2" t="s">
        <v>62</v>
      </c>
      <c r="M110" s="2" t="s">
        <v>31</v>
      </c>
    </row>
    <row r="111" spans="1:13" ht="15.75" customHeight="1" x14ac:dyDescent="0.3">
      <c r="A111" s="2" t="s">
        <v>267</v>
      </c>
      <c r="B111" s="2" t="s">
        <v>33</v>
      </c>
      <c r="C111" s="2" t="s">
        <v>268</v>
      </c>
      <c r="D111" s="2" t="s">
        <v>16</v>
      </c>
      <c r="E111" s="2" t="s">
        <v>82</v>
      </c>
      <c r="F111" s="9">
        <v>3523</v>
      </c>
      <c r="G111" s="9">
        <v>753</v>
      </c>
      <c r="H111" s="9">
        <v>482</v>
      </c>
      <c r="I111" s="9">
        <v>38753</v>
      </c>
      <c r="J111" s="9">
        <v>38579</v>
      </c>
      <c r="K111" s="9">
        <v>270</v>
      </c>
      <c r="L111" s="2" t="s">
        <v>37</v>
      </c>
      <c r="M111" s="2" t="s">
        <v>25</v>
      </c>
    </row>
    <row r="112" spans="1:13" ht="15.75" customHeight="1" x14ac:dyDescent="0.3">
      <c r="A112" s="2" t="s">
        <v>269</v>
      </c>
      <c r="B112" s="2" t="s">
        <v>27</v>
      </c>
      <c r="C112" s="2" t="s">
        <v>270</v>
      </c>
      <c r="D112" s="2" t="s">
        <v>52</v>
      </c>
      <c r="E112" s="2" t="s">
        <v>53</v>
      </c>
      <c r="F112" s="9">
        <v>2719</v>
      </c>
      <c r="G112" s="9">
        <v>17</v>
      </c>
      <c r="H112" s="9">
        <v>285</v>
      </c>
      <c r="I112" s="9">
        <v>40785</v>
      </c>
      <c r="J112" s="9">
        <v>40281</v>
      </c>
      <c r="K112" s="9">
        <v>40</v>
      </c>
      <c r="L112" s="2" t="s">
        <v>30</v>
      </c>
      <c r="M112" s="2" t="s">
        <v>25</v>
      </c>
    </row>
    <row r="113" spans="1:13" ht="15.75" customHeight="1" x14ac:dyDescent="0.3">
      <c r="A113" s="2" t="s">
        <v>271</v>
      </c>
      <c r="B113" s="2" t="s">
        <v>14</v>
      </c>
      <c r="C113" s="2" t="s">
        <v>272</v>
      </c>
      <c r="D113" s="2" t="s">
        <v>35</v>
      </c>
      <c r="E113" s="2" t="s">
        <v>149</v>
      </c>
      <c r="F113" s="9">
        <v>1957</v>
      </c>
      <c r="G113" s="9">
        <v>877</v>
      </c>
      <c r="H113" s="9">
        <v>238</v>
      </c>
      <c r="I113" s="9">
        <v>17613</v>
      </c>
      <c r="J113" s="9">
        <v>16865</v>
      </c>
      <c r="K113" s="9">
        <v>297</v>
      </c>
      <c r="L113" s="2" t="s">
        <v>62</v>
      </c>
      <c r="M113" s="2" t="s">
        <v>31</v>
      </c>
    </row>
    <row r="114" spans="1:13" ht="15.75" customHeight="1" x14ac:dyDescent="0.3">
      <c r="A114" s="2" t="s">
        <v>273</v>
      </c>
      <c r="B114" s="2" t="s">
        <v>14</v>
      </c>
      <c r="C114" s="2" t="s">
        <v>274</v>
      </c>
      <c r="D114" s="2" t="s">
        <v>45</v>
      </c>
      <c r="E114" s="2" t="s">
        <v>49</v>
      </c>
      <c r="F114" s="9">
        <v>4419</v>
      </c>
      <c r="G114" s="9">
        <v>236</v>
      </c>
      <c r="H114" s="9">
        <v>369</v>
      </c>
      <c r="I114" s="9">
        <v>44190</v>
      </c>
      <c r="J114" s="9">
        <v>43582</v>
      </c>
      <c r="K114" s="9">
        <v>10</v>
      </c>
      <c r="L114" s="2" t="s">
        <v>37</v>
      </c>
      <c r="M114" s="2" t="s">
        <v>19</v>
      </c>
    </row>
    <row r="115" spans="1:13" ht="15.75" customHeight="1" x14ac:dyDescent="0.3">
      <c r="A115" s="2" t="s">
        <v>275</v>
      </c>
      <c r="B115" s="2" t="s">
        <v>14</v>
      </c>
      <c r="C115" s="2" t="s">
        <v>276</v>
      </c>
      <c r="D115" s="2" t="s">
        <v>35</v>
      </c>
      <c r="E115" s="2" t="s">
        <v>149</v>
      </c>
      <c r="F115" s="9">
        <v>4000</v>
      </c>
      <c r="G115" s="9">
        <v>689</v>
      </c>
      <c r="H115" s="9">
        <v>488</v>
      </c>
      <c r="I115" s="9">
        <v>40000</v>
      </c>
      <c r="J115" s="9">
        <v>39569</v>
      </c>
      <c r="K115" s="9">
        <v>44</v>
      </c>
      <c r="L115" s="2" t="s">
        <v>62</v>
      </c>
      <c r="M115" s="2" t="s">
        <v>19</v>
      </c>
    </row>
    <row r="116" spans="1:13" ht="15.75" customHeight="1" x14ac:dyDescent="0.3">
      <c r="A116" s="2" t="s">
        <v>277</v>
      </c>
      <c r="B116" s="2" t="s">
        <v>14</v>
      </c>
      <c r="C116" s="2" t="s">
        <v>278</v>
      </c>
      <c r="D116" s="2" t="s">
        <v>52</v>
      </c>
      <c r="E116" s="2" t="s">
        <v>132</v>
      </c>
      <c r="F116" s="9">
        <v>2493</v>
      </c>
      <c r="G116" s="9">
        <v>97</v>
      </c>
      <c r="H116" s="9">
        <v>44</v>
      </c>
      <c r="I116" s="9">
        <v>42381</v>
      </c>
      <c r="J116" s="9">
        <v>41991</v>
      </c>
      <c r="K116" s="9">
        <v>242</v>
      </c>
      <c r="L116" s="2" t="s">
        <v>95</v>
      </c>
      <c r="M116" s="2" t="s">
        <v>38</v>
      </c>
    </row>
    <row r="117" spans="1:13" ht="15.75" customHeight="1" x14ac:dyDescent="0.3">
      <c r="A117" s="2" t="s">
        <v>279</v>
      </c>
      <c r="B117" s="2" t="s">
        <v>27</v>
      </c>
      <c r="C117" s="2" t="s">
        <v>280</v>
      </c>
      <c r="D117" s="2" t="s">
        <v>16</v>
      </c>
      <c r="E117" s="2" t="s">
        <v>29</v>
      </c>
      <c r="F117" s="9">
        <v>3704</v>
      </c>
      <c r="G117" s="9">
        <v>186</v>
      </c>
      <c r="H117" s="9">
        <v>458</v>
      </c>
      <c r="I117" s="9">
        <v>25928</v>
      </c>
      <c r="J117" s="9">
        <v>25081</v>
      </c>
      <c r="K117" s="9">
        <v>131</v>
      </c>
      <c r="L117" s="2" t="s">
        <v>30</v>
      </c>
    </row>
    <row r="118" spans="1:13" ht="15.75" customHeight="1" x14ac:dyDescent="0.3">
      <c r="A118" s="2" t="s">
        <v>281</v>
      </c>
      <c r="B118" s="2" t="s">
        <v>14</v>
      </c>
      <c r="C118" s="2" t="s">
        <v>282</v>
      </c>
      <c r="D118" s="2" t="s">
        <v>52</v>
      </c>
      <c r="E118" s="2" t="s">
        <v>132</v>
      </c>
      <c r="F118" s="9">
        <v>1606</v>
      </c>
      <c r="G118" s="9">
        <v>451</v>
      </c>
      <c r="H118" s="9">
        <v>405</v>
      </c>
      <c r="I118" s="9">
        <v>20878</v>
      </c>
      <c r="J118" s="9">
        <v>20190</v>
      </c>
      <c r="K118" s="9">
        <v>219</v>
      </c>
      <c r="L118" s="2" t="s">
        <v>37</v>
      </c>
      <c r="M118" s="2" t="s">
        <v>38</v>
      </c>
    </row>
    <row r="119" spans="1:13" ht="15.75" customHeight="1" x14ac:dyDescent="0.3">
      <c r="A119" s="2" t="s">
        <v>283</v>
      </c>
      <c r="B119" s="2" t="s">
        <v>43</v>
      </c>
      <c r="C119" s="2" t="s">
        <v>282</v>
      </c>
      <c r="D119" s="2" t="s">
        <v>52</v>
      </c>
      <c r="E119" s="2" t="s">
        <v>59</v>
      </c>
      <c r="F119" s="9">
        <v>4551</v>
      </c>
      <c r="G119" s="9">
        <v>714</v>
      </c>
      <c r="H119" s="9">
        <v>207</v>
      </c>
      <c r="I119" s="9">
        <v>68265</v>
      </c>
      <c r="J119" s="9">
        <v>67754</v>
      </c>
      <c r="K119" s="9">
        <v>57</v>
      </c>
      <c r="L119" s="2" t="s">
        <v>62</v>
      </c>
      <c r="M119" s="2" t="s">
        <v>31</v>
      </c>
    </row>
    <row r="120" spans="1:13" ht="15.75" customHeight="1" x14ac:dyDescent="0.3">
      <c r="A120" s="2" t="s">
        <v>284</v>
      </c>
      <c r="B120" s="2" t="s">
        <v>33</v>
      </c>
      <c r="C120" s="2" t="s">
        <v>285</v>
      </c>
      <c r="D120" s="2" t="s">
        <v>16</v>
      </c>
      <c r="E120" s="2" t="s">
        <v>82</v>
      </c>
      <c r="F120" s="9">
        <v>1970</v>
      </c>
      <c r="G120" s="9">
        <v>675</v>
      </c>
      <c r="H120" s="9">
        <v>478</v>
      </c>
      <c r="I120" s="9">
        <v>9850</v>
      </c>
      <c r="J120" s="9">
        <v>8924</v>
      </c>
      <c r="K120" s="9">
        <v>117</v>
      </c>
      <c r="L120" s="2" t="s">
        <v>62</v>
      </c>
    </row>
    <row r="121" spans="1:13" ht="15.75" customHeight="1" x14ac:dyDescent="0.3">
      <c r="A121" s="2" t="s">
        <v>286</v>
      </c>
      <c r="B121" s="2" t="s">
        <v>43</v>
      </c>
      <c r="C121" s="2" t="s">
        <v>168</v>
      </c>
      <c r="D121" s="2" t="s">
        <v>35</v>
      </c>
      <c r="E121" s="2" t="s">
        <v>71</v>
      </c>
      <c r="F121" s="9">
        <v>780</v>
      </c>
      <c r="G121" s="9">
        <v>928</v>
      </c>
      <c r="H121" s="9">
        <v>301</v>
      </c>
      <c r="I121" s="9">
        <v>8580</v>
      </c>
      <c r="J121" s="9">
        <v>8081</v>
      </c>
      <c r="K121" s="9">
        <v>91</v>
      </c>
      <c r="L121" s="2" t="s">
        <v>37</v>
      </c>
      <c r="M121" s="2" t="s">
        <v>31</v>
      </c>
    </row>
    <row r="122" spans="1:13" ht="15.75" customHeight="1" x14ac:dyDescent="0.3">
      <c r="A122" s="2" t="s">
        <v>287</v>
      </c>
      <c r="B122" s="2" t="s">
        <v>33</v>
      </c>
      <c r="C122" s="2" t="s">
        <v>268</v>
      </c>
      <c r="D122" s="2" t="s">
        <v>35</v>
      </c>
      <c r="E122" s="2" t="s">
        <v>36</v>
      </c>
      <c r="F122" s="9">
        <v>498</v>
      </c>
      <c r="G122" s="9">
        <v>701</v>
      </c>
      <c r="H122" s="9">
        <v>412</v>
      </c>
      <c r="I122" s="9">
        <v>4980</v>
      </c>
      <c r="J122" s="9">
        <v>4185</v>
      </c>
      <c r="K122" s="9">
        <v>185</v>
      </c>
      <c r="L122" s="2" t="s">
        <v>62</v>
      </c>
    </row>
    <row r="123" spans="1:13" ht="15.75" customHeight="1" x14ac:dyDescent="0.3">
      <c r="A123" s="2" t="s">
        <v>288</v>
      </c>
      <c r="B123" s="2" t="s">
        <v>33</v>
      </c>
      <c r="C123" s="2" t="s">
        <v>274</v>
      </c>
      <c r="D123" s="2" t="s">
        <v>22</v>
      </c>
      <c r="E123" s="2" t="s">
        <v>113</v>
      </c>
      <c r="F123" s="9">
        <v>3432</v>
      </c>
      <c r="G123" s="9">
        <v>869</v>
      </c>
      <c r="H123" s="9">
        <v>123</v>
      </c>
      <c r="I123" s="9">
        <v>54912</v>
      </c>
      <c r="J123" s="9">
        <v>53916</v>
      </c>
      <c r="K123" s="9">
        <v>264</v>
      </c>
      <c r="L123" s="2" t="s">
        <v>37</v>
      </c>
      <c r="M123" s="2" t="s">
        <v>25</v>
      </c>
    </row>
    <row r="124" spans="1:13" ht="15.75" customHeight="1" x14ac:dyDescent="0.3">
      <c r="A124" s="2" t="s">
        <v>289</v>
      </c>
      <c r="B124" s="2" t="s">
        <v>33</v>
      </c>
      <c r="C124" s="2" t="s">
        <v>258</v>
      </c>
      <c r="D124" s="2" t="s">
        <v>35</v>
      </c>
      <c r="E124" s="2" t="s">
        <v>36</v>
      </c>
      <c r="F124" s="9">
        <v>4363</v>
      </c>
      <c r="G124" s="9">
        <v>649</v>
      </c>
      <c r="H124" s="9">
        <v>140</v>
      </c>
      <c r="I124" s="9">
        <v>21815</v>
      </c>
      <c r="J124" s="9">
        <v>21481</v>
      </c>
      <c r="K124" s="9">
        <v>157</v>
      </c>
      <c r="L124" s="2" t="s">
        <v>37</v>
      </c>
      <c r="M124" s="2" t="s">
        <v>19</v>
      </c>
    </row>
    <row r="125" spans="1:13" ht="15.75" customHeight="1" x14ac:dyDescent="0.3">
      <c r="A125" s="2" t="s">
        <v>290</v>
      </c>
      <c r="B125" s="2" t="s">
        <v>27</v>
      </c>
      <c r="C125" s="2" t="s">
        <v>291</v>
      </c>
      <c r="D125" s="2" t="s">
        <v>45</v>
      </c>
      <c r="E125" s="2" t="s">
        <v>68</v>
      </c>
      <c r="F125" s="9">
        <v>736</v>
      </c>
      <c r="G125" s="9">
        <v>771</v>
      </c>
      <c r="H125" s="9">
        <v>225</v>
      </c>
      <c r="I125" s="9">
        <v>5152</v>
      </c>
      <c r="J125" s="9">
        <v>4706</v>
      </c>
      <c r="K125" s="9">
        <v>19</v>
      </c>
      <c r="L125" s="2" t="s">
        <v>37</v>
      </c>
      <c r="M125" s="2" t="s">
        <v>19</v>
      </c>
    </row>
    <row r="126" spans="1:13" ht="15.75" customHeight="1" x14ac:dyDescent="0.3">
      <c r="A126" s="2" t="s">
        <v>292</v>
      </c>
      <c r="B126" s="2" t="s">
        <v>14</v>
      </c>
      <c r="C126" s="2" t="s">
        <v>293</v>
      </c>
      <c r="D126" s="2" t="s">
        <v>45</v>
      </c>
      <c r="E126" s="2" t="s">
        <v>49</v>
      </c>
      <c r="F126" s="9">
        <v>3811</v>
      </c>
      <c r="G126" s="9">
        <v>866</v>
      </c>
      <c r="H126" s="9">
        <v>216</v>
      </c>
      <c r="I126" s="9">
        <v>34299</v>
      </c>
      <c r="J126" s="9">
        <v>34088</v>
      </c>
      <c r="K126" s="9">
        <v>233</v>
      </c>
      <c r="L126" s="2" t="s">
        <v>30</v>
      </c>
      <c r="M126" s="2" t="s">
        <v>38</v>
      </c>
    </row>
    <row r="127" spans="1:13" ht="15.75" customHeight="1" x14ac:dyDescent="0.3">
      <c r="A127" s="2" t="s">
        <v>294</v>
      </c>
      <c r="B127" s="2" t="s">
        <v>33</v>
      </c>
      <c r="C127" s="2" t="s">
        <v>184</v>
      </c>
      <c r="D127" s="2" t="s">
        <v>45</v>
      </c>
      <c r="E127" s="2" t="s">
        <v>88</v>
      </c>
      <c r="F127" s="9">
        <v>4158</v>
      </c>
      <c r="G127" s="9">
        <v>167</v>
      </c>
      <c r="H127" s="9">
        <v>241</v>
      </c>
      <c r="I127" s="9">
        <v>45738</v>
      </c>
      <c r="J127" s="9">
        <v>45183</v>
      </c>
      <c r="K127" s="9">
        <v>142</v>
      </c>
      <c r="L127" s="2" t="s">
        <v>62</v>
      </c>
    </row>
    <row r="128" spans="1:13" ht="15.75" customHeight="1" x14ac:dyDescent="0.3">
      <c r="A128" s="2" t="s">
        <v>295</v>
      </c>
      <c r="B128" s="2" t="s">
        <v>43</v>
      </c>
      <c r="C128" s="2" t="s">
        <v>224</v>
      </c>
      <c r="D128" s="2" t="s">
        <v>16</v>
      </c>
      <c r="E128" s="2" t="s">
        <v>65</v>
      </c>
      <c r="F128" s="9">
        <v>3452</v>
      </c>
      <c r="G128" s="9">
        <v>652</v>
      </c>
      <c r="H128" s="9">
        <v>442</v>
      </c>
      <c r="I128" s="9">
        <v>65588</v>
      </c>
      <c r="J128" s="9">
        <v>65049</v>
      </c>
      <c r="K128" s="9">
        <v>158</v>
      </c>
      <c r="L128" s="2" t="s">
        <v>62</v>
      </c>
      <c r="M128" s="2" t="s">
        <v>31</v>
      </c>
    </row>
    <row r="129" spans="1:13" ht="15.75" customHeight="1" x14ac:dyDescent="0.3">
      <c r="A129" s="2" t="s">
        <v>296</v>
      </c>
      <c r="B129" s="2" t="s">
        <v>14</v>
      </c>
      <c r="C129" s="2" t="s">
        <v>230</v>
      </c>
      <c r="D129" s="2" t="s">
        <v>52</v>
      </c>
      <c r="E129" s="2" t="s">
        <v>132</v>
      </c>
      <c r="F129" s="9">
        <v>3092</v>
      </c>
      <c r="G129" s="9">
        <v>106</v>
      </c>
      <c r="H129" s="9">
        <v>291</v>
      </c>
      <c r="I129" s="9">
        <v>27828</v>
      </c>
      <c r="J129" s="9">
        <v>27217</v>
      </c>
      <c r="K129" s="9">
        <v>102</v>
      </c>
      <c r="L129" s="2" t="s">
        <v>62</v>
      </c>
    </row>
    <row r="130" spans="1:13" ht="15.75" customHeight="1" x14ac:dyDescent="0.3">
      <c r="A130" s="2" t="s">
        <v>297</v>
      </c>
      <c r="B130" s="2" t="s">
        <v>14</v>
      </c>
      <c r="C130" s="2" t="s">
        <v>64</v>
      </c>
      <c r="D130" s="2" t="s">
        <v>22</v>
      </c>
      <c r="E130" s="2" t="s">
        <v>23</v>
      </c>
      <c r="F130" s="9">
        <v>2147</v>
      </c>
      <c r="G130" s="9">
        <v>430</v>
      </c>
      <c r="H130" s="9">
        <v>393</v>
      </c>
      <c r="I130" s="9">
        <v>17176</v>
      </c>
      <c r="J130" s="9">
        <v>16483</v>
      </c>
      <c r="K130" s="9">
        <v>170</v>
      </c>
      <c r="L130" s="2" t="s">
        <v>30</v>
      </c>
    </row>
    <row r="131" spans="1:13" ht="15.75" customHeight="1" x14ac:dyDescent="0.3">
      <c r="A131" s="2" t="s">
        <v>298</v>
      </c>
      <c r="B131" s="2" t="s">
        <v>27</v>
      </c>
      <c r="C131" s="2" t="s">
        <v>299</v>
      </c>
      <c r="D131" s="2" t="s">
        <v>16</v>
      </c>
      <c r="E131" s="2" t="s">
        <v>29</v>
      </c>
      <c r="F131" s="9">
        <v>2936</v>
      </c>
      <c r="G131" s="9">
        <v>439</v>
      </c>
      <c r="H131" s="9">
        <v>44</v>
      </c>
      <c r="I131" s="9">
        <v>38168</v>
      </c>
      <c r="J131" s="9">
        <v>37571</v>
      </c>
      <c r="K131" s="9">
        <v>22</v>
      </c>
      <c r="L131" s="2" t="s">
        <v>37</v>
      </c>
      <c r="M131" s="2" t="s">
        <v>38</v>
      </c>
    </row>
    <row r="132" spans="1:13" ht="15.75" customHeight="1" x14ac:dyDescent="0.3">
      <c r="A132" s="2" t="s">
        <v>300</v>
      </c>
      <c r="B132" s="2" t="s">
        <v>33</v>
      </c>
      <c r="C132" s="2" t="s">
        <v>168</v>
      </c>
      <c r="D132" s="2" t="s">
        <v>16</v>
      </c>
      <c r="E132" s="2" t="s">
        <v>82</v>
      </c>
      <c r="F132" s="9">
        <v>4840</v>
      </c>
      <c r="G132" s="9">
        <v>658</v>
      </c>
      <c r="H132" s="9">
        <v>211</v>
      </c>
      <c r="I132" s="9">
        <v>43560</v>
      </c>
      <c r="J132" s="9">
        <v>43225</v>
      </c>
      <c r="K132" s="9">
        <v>57</v>
      </c>
      <c r="L132" s="2" t="s">
        <v>62</v>
      </c>
      <c r="M132" s="2" t="s">
        <v>31</v>
      </c>
    </row>
    <row r="133" spans="1:13" ht="15.75" customHeight="1" x14ac:dyDescent="0.3">
      <c r="A133" s="2" t="s">
        <v>301</v>
      </c>
      <c r="B133" s="2" t="s">
        <v>33</v>
      </c>
      <c r="C133" s="2" t="s">
        <v>106</v>
      </c>
      <c r="D133" s="2" t="s">
        <v>35</v>
      </c>
      <c r="E133" s="2" t="s">
        <v>36</v>
      </c>
      <c r="F133" s="9">
        <v>1947</v>
      </c>
      <c r="G133" s="9">
        <v>842</v>
      </c>
      <c r="H133" s="9">
        <v>101</v>
      </c>
      <c r="I133" s="9">
        <v>21417</v>
      </c>
      <c r="J133" s="9">
        <v>20967</v>
      </c>
      <c r="K133" s="9">
        <v>186</v>
      </c>
      <c r="L133" s="2" t="s">
        <v>62</v>
      </c>
      <c r="M133" s="2" t="s">
        <v>25</v>
      </c>
    </row>
    <row r="134" spans="1:13" ht="15.75" customHeight="1" x14ac:dyDescent="0.3">
      <c r="A134" s="2" t="s">
        <v>302</v>
      </c>
      <c r="B134" s="2" t="s">
        <v>43</v>
      </c>
      <c r="C134" s="2" t="s">
        <v>303</v>
      </c>
      <c r="D134" s="2" t="s">
        <v>52</v>
      </c>
      <c r="E134" s="2" t="s">
        <v>59</v>
      </c>
      <c r="F134" s="9">
        <v>2072</v>
      </c>
      <c r="G134" s="9">
        <v>532</v>
      </c>
      <c r="H134" s="9">
        <v>71</v>
      </c>
      <c r="I134" s="9">
        <v>37296</v>
      </c>
      <c r="J134" s="9">
        <v>36467</v>
      </c>
      <c r="K134" s="9">
        <v>25</v>
      </c>
      <c r="L134" s="2" t="s">
        <v>30</v>
      </c>
      <c r="M134" s="2" t="s">
        <v>38</v>
      </c>
    </row>
    <row r="135" spans="1:13" ht="15.75" customHeight="1" x14ac:dyDescent="0.3">
      <c r="A135" s="2" t="s">
        <v>304</v>
      </c>
      <c r="B135" s="2" t="s">
        <v>14</v>
      </c>
      <c r="C135" s="2" t="s">
        <v>305</v>
      </c>
      <c r="D135" s="2" t="s">
        <v>16</v>
      </c>
      <c r="E135" s="2" t="s">
        <v>17</v>
      </c>
      <c r="F135" s="9">
        <v>3731</v>
      </c>
      <c r="G135" s="9">
        <v>115</v>
      </c>
      <c r="H135" s="9">
        <v>135</v>
      </c>
      <c r="I135" s="9">
        <v>55965</v>
      </c>
      <c r="J135" s="9">
        <v>55436</v>
      </c>
      <c r="K135" s="9">
        <v>103</v>
      </c>
      <c r="L135" s="2" t="s">
        <v>30</v>
      </c>
      <c r="M135" s="2" t="s">
        <v>19</v>
      </c>
    </row>
    <row r="136" spans="1:13" ht="15.75" customHeight="1" x14ac:dyDescent="0.3">
      <c r="A136" s="2" t="s">
        <v>306</v>
      </c>
      <c r="B136" s="2" t="s">
        <v>43</v>
      </c>
      <c r="C136" s="2" t="s">
        <v>307</v>
      </c>
      <c r="D136" s="2" t="s">
        <v>22</v>
      </c>
      <c r="E136" s="2" t="s">
        <v>56</v>
      </c>
      <c r="F136" s="9">
        <v>4213</v>
      </c>
      <c r="G136" s="9">
        <v>253</v>
      </c>
      <c r="H136" s="9">
        <v>434</v>
      </c>
      <c r="I136" s="9">
        <v>75834</v>
      </c>
      <c r="J136" s="9">
        <v>75437</v>
      </c>
      <c r="K136" s="9">
        <v>272</v>
      </c>
      <c r="L136" s="2" t="s">
        <v>62</v>
      </c>
      <c r="M136" s="2" t="s">
        <v>38</v>
      </c>
    </row>
    <row r="137" spans="1:13" ht="15.75" customHeight="1" x14ac:dyDescent="0.3">
      <c r="A137" s="2" t="s">
        <v>308</v>
      </c>
      <c r="B137" s="2" t="s">
        <v>33</v>
      </c>
      <c r="C137" s="2" t="s">
        <v>309</v>
      </c>
      <c r="D137" s="2" t="s">
        <v>22</v>
      </c>
      <c r="E137" s="2" t="s">
        <v>113</v>
      </c>
      <c r="F137" s="9">
        <v>3134</v>
      </c>
      <c r="G137" s="9">
        <v>888</v>
      </c>
      <c r="H137" s="9">
        <v>444</v>
      </c>
      <c r="I137" s="9">
        <v>21938</v>
      </c>
      <c r="J137" s="9">
        <v>21337</v>
      </c>
      <c r="K137" s="9">
        <v>130</v>
      </c>
      <c r="L137" s="2" t="s">
        <v>37</v>
      </c>
      <c r="M137" s="2" t="s">
        <v>38</v>
      </c>
    </row>
    <row r="138" spans="1:13" ht="15.75" customHeight="1" x14ac:dyDescent="0.3">
      <c r="A138" s="2" t="s">
        <v>310</v>
      </c>
      <c r="B138" s="2" t="s">
        <v>43</v>
      </c>
      <c r="C138" s="2" t="s">
        <v>115</v>
      </c>
      <c r="D138" s="2" t="s">
        <v>74</v>
      </c>
      <c r="E138" s="2" t="s">
        <v>75</v>
      </c>
      <c r="F138" s="9">
        <v>3008</v>
      </c>
      <c r="G138" s="9">
        <v>94</v>
      </c>
      <c r="H138" s="9">
        <v>37</v>
      </c>
      <c r="I138" s="9">
        <v>15040</v>
      </c>
      <c r="J138" s="9">
        <v>14639</v>
      </c>
      <c r="K138" s="9">
        <v>277</v>
      </c>
      <c r="L138" s="2" t="s">
        <v>62</v>
      </c>
    </row>
    <row r="139" spans="1:13" ht="15.75" customHeight="1" x14ac:dyDescent="0.3">
      <c r="A139" s="2" t="s">
        <v>311</v>
      </c>
      <c r="B139" s="2" t="s">
        <v>14</v>
      </c>
      <c r="C139" s="2" t="s">
        <v>188</v>
      </c>
      <c r="D139" s="2" t="s">
        <v>52</v>
      </c>
      <c r="E139" s="2" t="s">
        <v>132</v>
      </c>
      <c r="F139" s="9">
        <v>305</v>
      </c>
      <c r="G139" s="9">
        <v>187</v>
      </c>
      <c r="H139" s="9">
        <v>243</v>
      </c>
      <c r="I139" s="9">
        <v>4575</v>
      </c>
      <c r="J139" s="9">
        <v>3704</v>
      </c>
      <c r="K139" s="9">
        <v>234</v>
      </c>
      <c r="L139" s="2" t="s">
        <v>62</v>
      </c>
      <c r="M139" s="2" t="s">
        <v>31</v>
      </c>
    </row>
    <row r="140" spans="1:13" ht="15.75" customHeight="1" x14ac:dyDescent="0.3">
      <c r="A140" s="2" t="s">
        <v>312</v>
      </c>
      <c r="B140" s="2" t="s">
        <v>27</v>
      </c>
      <c r="C140" s="2" t="s">
        <v>313</v>
      </c>
      <c r="D140" s="2" t="s">
        <v>22</v>
      </c>
      <c r="E140" s="2" t="s">
        <v>104</v>
      </c>
      <c r="F140" s="9">
        <v>2746</v>
      </c>
      <c r="G140" s="9">
        <v>156</v>
      </c>
      <c r="H140" s="9">
        <v>203</v>
      </c>
      <c r="I140" s="9">
        <v>32952</v>
      </c>
      <c r="J140" s="9">
        <v>32147</v>
      </c>
      <c r="K140" s="9">
        <v>147</v>
      </c>
      <c r="L140" s="2" t="s">
        <v>37</v>
      </c>
      <c r="M140" s="2" t="s">
        <v>19</v>
      </c>
    </row>
    <row r="141" spans="1:13" ht="15.75" customHeight="1" x14ac:dyDescent="0.3">
      <c r="A141" s="2" t="s">
        <v>314</v>
      </c>
      <c r="B141" s="2" t="s">
        <v>43</v>
      </c>
      <c r="C141" s="2" t="s">
        <v>315</v>
      </c>
      <c r="D141" s="2" t="s">
        <v>52</v>
      </c>
      <c r="E141" s="2" t="s">
        <v>59</v>
      </c>
      <c r="F141" s="9">
        <v>2291</v>
      </c>
      <c r="G141" s="9">
        <v>78</v>
      </c>
      <c r="H141" s="9">
        <v>485</v>
      </c>
      <c r="I141" s="9">
        <v>18328</v>
      </c>
      <c r="J141" s="9">
        <v>18101</v>
      </c>
      <c r="K141" s="9">
        <v>10</v>
      </c>
      <c r="L141" s="2" t="s">
        <v>316</v>
      </c>
      <c r="M141" s="2" t="s">
        <v>25</v>
      </c>
    </row>
    <row r="142" spans="1:13" ht="15.75" customHeight="1" x14ac:dyDescent="0.3">
      <c r="A142" s="2" t="s">
        <v>317</v>
      </c>
      <c r="B142" s="2" t="s">
        <v>14</v>
      </c>
      <c r="C142" s="2" t="s">
        <v>318</v>
      </c>
      <c r="D142" s="2" t="s">
        <v>52</v>
      </c>
      <c r="E142" s="2" t="s">
        <v>132</v>
      </c>
      <c r="F142" s="9">
        <v>3170</v>
      </c>
      <c r="G142" s="9">
        <v>857</v>
      </c>
      <c r="H142" s="9">
        <v>379</v>
      </c>
      <c r="I142" s="9">
        <v>19020</v>
      </c>
      <c r="J142" s="9">
        <v>18559</v>
      </c>
      <c r="K142" s="9">
        <v>240</v>
      </c>
      <c r="L142" s="2" t="s">
        <v>62</v>
      </c>
    </row>
    <row r="143" spans="1:13" ht="15.75" customHeight="1" x14ac:dyDescent="0.3">
      <c r="A143" s="2" t="s">
        <v>319</v>
      </c>
      <c r="B143" s="2" t="s">
        <v>27</v>
      </c>
      <c r="C143" s="2" t="s">
        <v>264</v>
      </c>
      <c r="D143" s="2" t="s">
        <v>35</v>
      </c>
      <c r="E143" s="2" t="s">
        <v>154</v>
      </c>
      <c r="F143" s="9">
        <v>2070</v>
      </c>
      <c r="G143" s="9">
        <v>275</v>
      </c>
      <c r="H143" s="9">
        <v>386</v>
      </c>
      <c r="I143" s="9">
        <v>39330</v>
      </c>
      <c r="J143" s="9">
        <v>38627</v>
      </c>
      <c r="K143" s="9">
        <v>114</v>
      </c>
      <c r="L143" s="2" t="s">
        <v>62</v>
      </c>
      <c r="M143" s="2" t="s">
        <v>38</v>
      </c>
    </row>
    <row r="144" spans="1:13" ht="15.75" customHeight="1" x14ac:dyDescent="0.3">
      <c r="A144" s="2" t="s">
        <v>320</v>
      </c>
      <c r="B144" s="2" t="s">
        <v>27</v>
      </c>
      <c r="C144" s="2" t="s">
        <v>274</v>
      </c>
      <c r="D144" s="2" t="s">
        <v>45</v>
      </c>
      <c r="E144" s="2" t="s">
        <v>68</v>
      </c>
      <c r="F144" s="9">
        <v>80</v>
      </c>
      <c r="G144" s="9">
        <v>362</v>
      </c>
      <c r="H144" s="9">
        <v>80</v>
      </c>
      <c r="I144" s="9">
        <v>1040</v>
      </c>
      <c r="J144" s="9">
        <v>349</v>
      </c>
      <c r="K144" s="9">
        <v>117</v>
      </c>
      <c r="L144" s="2" t="s">
        <v>30</v>
      </c>
      <c r="M144" s="2" t="s">
        <v>31</v>
      </c>
    </row>
    <row r="145" spans="1:13" ht="15.75" customHeight="1" x14ac:dyDescent="0.3">
      <c r="A145" s="2" t="s">
        <v>321</v>
      </c>
      <c r="B145" s="2" t="s">
        <v>27</v>
      </c>
      <c r="C145" s="2" t="s">
        <v>201</v>
      </c>
      <c r="D145" s="2" t="s">
        <v>35</v>
      </c>
      <c r="E145" s="2" t="s">
        <v>154</v>
      </c>
      <c r="F145" s="9">
        <v>4929</v>
      </c>
      <c r="G145" s="9">
        <v>749</v>
      </c>
      <c r="H145" s="9">
        <v>452</v>
      </c>
      <c r="I145" s="9">
        <v>93651</v>
      </c>
      <c r="J145" s="9">
        <v>92810</v>
      </c>
      <c r="K145" s="9">
        <v>66</v>
      </c>
      <c r="L145" s="2" t="s">
        <v>37</v>
      </c>
      <c r="M145" s="2" t="s">
        <v>38</v>
      </c>
    </row>
    <row r="146" spans="1:13" ht="15.75" customHeight="1" x14ac:dyDescent="0.3">
      <c r="A146" s="2" t="s">
        <v>322</v>
      </c>
      <c r="B146" s="2" t="s">
        <v>33</v>
      </c>
      <c r="C146" s="2" t="s">
        <v>34</v>
      </c>
      <c r="D146" s="2" t="s">
        <v>45</v>
      </c>
      <c r="E146" s="2" t="s">
        <v>88</v>
      </c>
      <c r="F146" s="9">
        <v>1878</v>
      </c>
      <c r="G146" s="9">
        <v>62</v>
      </c>
      <c r="H146" s="9">
        <v>179</v>
      </c>
      <c r="I146" s="9">
        <v>37560</v>
      </c>
      <c r="J146" s="9">
        <v>36874</v>
      </c>
      <c r="K146" s="9">
        <v>142</v>
      </c>
      <c r="L146" s="2" t="s">
        <v>30</v>
      </c>
      <c r="M146" s="2" t="s">
        <v>38</v>
      </c>
    </row>
    <row r="147" spans="1:13" ht="15.75" customHeight="1" x14ac:dyDescent="0.3">
      <c r="A147" s="2" t="s">
        <v>323</v>
      </c>
      <c r="B147" s="2" t="s">
        <v>27</v>
      </c>
      <c r="C147" s="2" t="s">
        <v>324</v>
      </c>
      <c r="D147" s="2" t="s">
        <v>16</v>
      </c>
      <c r="E147" s="2" t="s">
        <v>29</v>
      </c>
      <c r="F147" s="9">
        <v>3065</v>
      </c>
      <c r="G147" s="9">
        <v>772</v>
      </c>
      <c r="H147" s="9">
        <v>142</v>
      </c>
      <c r="I147" s="9">
        <v>18390</v>
      </c>
      <c r="J147" s="9">
        <v>17875</v>
      </c>
      <c r="K147" s="9">
        <v>200</v>
      </c>
      <c r="L147" s="2" t="s">
        <v>325</v>
      </c>
    </row>
    <row r="148" spans="1:13" ht="15.75" customHeight="1" x14ac:dyDescent="0.3">
      <c r="A148" s="2" t="s">
        <v>326</v>
      </c>
      <c r="B148" s="2" t="s">
        <v>33</v>
      </c>
      <c r="C148" s="2" t="s">
        <v>168</v>
      </c>
      <c r="D148" s="2" t="s">
        <v>16</v>
      </c>
      <c r="E148" s="2" t="s">
        <v>82</v>
      </c>
      <c r="F148" s="9">
        <v>3256</v>
      </c>
      <c r="G148" s="9">
        <v>459</v>
      </c>
      <c r="H148" s="9">
        <v>266</v>
      </c>
      <c r="I148" s="9">
        <v>26048</v>
      </c>
      <c r="J148" s="9">
        <v>25529</v>
      </c>
      <c r="K148" s="9">
        <v>143</v>
      </c>
      <c r="L148" s="2" t="s">
        <v>30</v>
      </c>
      <c r="M148" s="2" t="s">
        <v>25</v>
      </c>
    </row>
    <row r="149" spans="1:13" ht="15.75" customHeight="1" x14ac:dyDescent="0.3">
      <c r="A149" s="2" t="s">
        <v>327</v>
      </c>
      <c r="B149" s="2" t="s">
        <v>33</v>
      </c>
      <c r="C149" s="2" t="s">
        <v>170</v>
      </c>
      <c r="D149" s="2" t="s">
        <v>74</v>
      </c>
      <c r="E149" s="2" t="s">
        <v>85</v>
      </c>
      <c r="F149" s="9">
        <v>4133</v>
      </c>
      <c r="G149" s="9">
        <v>466</v>
      </c>
      <c r="H149" s="9">
        <v>327</v>
      </c>
      <c r="I149" s="9">
        <v>24798</v>
      </c>
      <c r="J149" s="9">
        <v>24620</v>
      </c>
      <c r="K149" s="9">
        <v>176</v>
      </c>
      <c r="L149" s="2" t="s">
        <v>37</v>
      </c>
      <c r="M149" s="2" t="s">
        <v>38</v>
      </c>
    </row>
    <row r="150" spans="1:13" ht="15.75" customHeight="1" x14ac:dyDescent="0.3">
      <c r="A150" s="2" t="s">
        <v>328</v>
      </c>
      <c r="B150" s="2" t="s">
        <v>14</v>
      </c>
      <c r="C150" s="2" t="s">
        <v>329</v>
      </c>
      <c r="D150" s="2" t="s">
        <v>74</v>
      </c>
      <c r="E150" s="2" t="s">
        <v>145</v>
      </c>
      <c r="F150" s="9">
        <v>1702</v>
      </c>
      <c r="G150" s="9">
        <v>750</v>
      </c>
      <c r="H150" s="9">
        <v>179</v>
      </c>
      <c r="I150" s="9">
        <v>34040</v>
      </c>
      <c r="J150" s="9">
        <v>33174</v>
      </c>
      <c r="K150" s="9">
        <v>76</v>
      </c>
      <c r="L150" s="2" t="s">
        <v>37</v>
      </c>
      <c r="M150" s="2" t="s">
        <v>19</v>
      </c>
    </row>
    <row r="151" spans="1:13" ht="15.75" customHeight="1" x14ac:dyDescent="0.3">
      <c r="A151" s="2" t="s">
        <v>330</v>
      </c>
      <c r="B151" s="2" t="s">
        <v>27</v>
      </c>
      <c r="C151" s="2" t="s">
        <v>331</v>
      </c>
      <c r="D151" s="2" t="s">
        <v>45</v>
      </c>
      <c r="E151" s="2" t="s">
        <v>68</v>
      </c>
      <c r="F151" s="9">
        <v>4295</v>
      </c>
      <c r="G151" s="9">
        <v>853</v>
      </c>
      <c r="H151" s="9">
        <v>325</v>
      </c>
      <c r="I151" s="9">
        <v>85900</v>
      </c>
      <c r="J151" s="9">
        <v>85788</v>
      </c>
      <c r="K151" s="9">
        <v>290</v>
      </c>
      <c r="L151" s="2" t="s">
        <v>30</v>
      </c>
      <c r="M151" s="2" t="s">
        <v>38</v>
      </c>
    </row>
    <row r="152" spans="1:13" ht="15.75" customHeight="1" x14ac:dyDescent="0.3">
      <c r="A152" s="2" t="s">
        <v>332</v>
      </c>
      <c r="B152" s="2" t="s">
        <v>33</v>
      </c>
      <c r="C152" s="2" t="s">
        <v>186</v>
      </c>
      <c r="D152" s="2" t="s">
        <v>52</v>
      </c>
      <c r="E152" s="2" t="s">
        <v>215</v>
      </c>
      <c r="F152" s="9">
        <v>3559</v>
      </c>
      <c r="G152" s="9">
        <v>59</v>
      </c>
      <c r="H152" s="9">
        <v>289</v>
      </c>
      <c r="I152" s="9">
        <v>35590</v>
      </c>
      <c r="J152" s="9">
        <v>35105</v>
      </c>
      <c r="K152" s="9">
        <v>122</v>
      </c>
      <c r="L152" s="2" t="s">
        <v>37</v>
      </c>
      <c r="M152" s="2" t="s">
        <v>19</v>
      </c>
    </row>
    <row r="153" spans="1:13" ht="15.75" customHeight="1" x14ac:dyDescent="0.3">
      <c r="A153" s="2" t="s">
        <v>333</v>
      </c>
      <c r="B153" s="2" t="s">
        <v>43</v>
      </c>
      <c r="C153" s="2" t="s">
        <v>334</v>
      </c>
      <c r="D153" s="2" t="s">
        <v>52</v>
      </c>
      <c r="E153" s="2" t="s">
        <v>59</v>
      </c>
      <c r="F153" s="9">
        <v>4804</v>
      </c>
      <c r="G153" s="9">
        <v>550</v>
      </c>
      <c r="H153" s="9">
        <v>270</v>
      </c>
      <c r="I153" s="9">
        <v>28824</v>
      </c>
      <c r="J153" s="9">
        <v>28370</v>
      </c>
      <c r="K153" s="9">
        <v>47</v>
      </c>
      <c r="L153" s="2" t="s">
        <v>37</v>
      </c>
      <c r="M153" s="2" t="s">
        <v>38</v>
      </c>
    </row>
    <row r="154" spans="1:13" ht="15.75" customHeight="1" x14ac:dyDescent="0.3">
      <c r="A154" s="2" t="s">
        <v>335</v>
      </c>
      <c r="B154" s="2" t="s">
        <v>14</v>
      </c>
      <c r="C154" s="2" t="s">
        <v>336</v>
      </c>
      <c r="D154" s="2" t="s">
        <v>74</v>
      </c>
      <c r="E154" s="2" t="s">
        <v>145</v>
      </c>
      <c r="F154" s="9">
        <v>754</v>
      </c>
      <c r="G154" s="9">
        <v>197</v>
      </c>
      <c r="H154" s="9">
        <v>257</v>
      </c>
      <c r="I154" s="9">
        <v>6786</v>
      </c>
      <c r="J154" s="9">
        <v>6221</v>
      </c>
      <c r="K154" s="9">
        <v>212</v>
      </c>
      <c r="L154" s="2" t="s">
        <v>30</v>
      </c>
      <c r="M154" s="2" t="s">
        <v>31</v>
      </c>
    </row>
    <row r="155" spans="1:13" ht="15.75" customHeight="1" x14ac:dyDescent="0.3">
      <c r="A155" s="2" t="s">
        <v>337</v>
      </c>
      <c r="B155" s="2" t="s">
        <v>33</v>
      </c>
      <c r="C155" s="2" t="s">
        <v>209</v>
      </c>
      <c r="D155" s="2" t="s">
        <v>45</v>
      </c>
      <c r="E155" s="2" t="s">
        <v>88</v>
      </c>
      <c r="F155" s="9">
        <v>985</v>
      </c>
      <c r="G155" s="9">
        <v>932</v>
      </c>
      <c r="H155" s="9">
        <v>287</v>
      </c>
      <c r="I155" s="9">
        <v>6895</v>
      </c>
      <c r="J155" s="9">
        <v>6757</v>
      </c>
      <c r="K155" s="9">
        <v>64</v>
      </c>
      <c r="L155" s="2" t="s">
        <v>62</v>
      </c>
      <c r="M155" s="2" t="s">
        <v>38</v>
      </c>
    </row>
    <row r="156" spans="1:13" ht="15.75" customHeight="1" x14ac:dyDescent="0.3">
      <c r="A156" s="2" t="s">
        <v>338</v>
      </c>
      <c r="B156" s="2" t="s">
        <v>27</v>
      </c>
      <c r="C156" s="2" t="s">
        <v>339</v>
      </c>
      <c r="D156" s="2" t="s">
        <v>52</v>
      </c>
      <c r="E156" s="2" t="s">
        <v>53</v>
      </c>
      <c r="F156" s="9">
        <v>2283</v>
      </c>
      <c r="G156" s="9">
        <v>210</v>
      </c>
      <c r="H156" s="9">
        <v>130</v>
      </c>
      <c r="I156" s="9">
        <v>22830</v>
      </c>
      <c r="J156" s="9">
        <v>22617</v>
      </c>
      <c r="K156" s="9">
        <v>143</v>
      </c>
      <c r="L156" s="2" t="s">
        <v>62</v>
      </c>
      <c r="M156" s="2" t="s">
        <v>25</v>
      </c>
    </row>
    <row r="157" spans="1:13" ht="15.75" customHeight="1" x14ac:dyDescent="0.3">
      <c r="A157" s="2" t="s">
        <v>340</v>
      </c>
      <c r="B157" s="2" t="s">
        <v>43</v>
      </c>
      <c r="C157" s="2" t="s">
        <v>341</v>
      </c>
      <c r="D157" s="2" t="s">
        <v>45</v>
      </c>
      <c r="E157" s="2" t="s">
        <v>46</v>
      </c>
      <c r="F157" s="9">
        <v>3352</v>
      </c>
      <c r="G157" s="9">
        <v>941</v>
      </c>
      <c r="H157" s="9">
        <v>482</v>
      </c>
      <c r="I157" s="9">
        <v>43576</v>
      </c>
      <c r="J157" s="9">
        <v>43338</v>
      </c>
      <c r="K157" s="9">
        <v>240</v>
      </c>
      <c r="L157" s="2" t="s">
        <v>62</v>
      </c>
      <c r="M157" s="2" t="s">
        <v>25</v>
      </c>
    </row>
    <row r="158" spans="1:13" ht="15.75" customHeight="1" x14ac:dyDescent="0.3">
      <c r="A158" s="2" t="s">
        <v>342</v>
      </c>
      <c r="B158" s="2" t="s">
        <v>27</v>
      </c>
      <c r="C158" s="2" t="s">
        <v>343</v>
      </c>
      <c r="D158" s="2" t="s">
        <v>35</v>
      </c>
      <c r="E158" s="2" t="s">
        <v>154</v>
      </c>
      <c r="F158" s="9">
        <v>4775</v>
      </c>
      <c r="G158" s="9">
        <v>173</v>
      </c>
      <c r="H158" s="9">
        <v>206</v>
      </c>
      <c r="I158" s="9">
        <v>47750</v>
      </c>
      <c r="J158" s="9">
        <v>47544</v>
      </c>
      <c r="K158" s="9">
        <v>187</v>
      </c>
      <c r="L158" s="2" t="s">
        <v>62</v>
      </c>
      <c r="M158" s="2" t="s">
        <v>25</v>
      </c>
    </row>
    <row r="159" spans="1:13" ht="15.75" customHeight="1" x14ac:dyDescent="0.3">
      <c r="A159" s="2" t="s">
        <v>344</v>
      </c>
      <c r="B159" s="2" t="s">
        <v>33</v>
      </c>
      <c r="C159" s="2" t="s">
        <v>345</v>
      </c>
      <c r="D159" s="2" t="s">
        <v>35</v>
      </c>
      <c r="E159" s="2" t="s">
        <v>36</v>
      </c>
      <c r="F159" s="9">
        <v>1762</v>
      </c>
      <c r="G159" s="9">
        <v>405</v>
      </c>
      <c r="H159" s="9">
        <v>423</v>
      </c>
      <c r="I159" s="9">
        <v>22906</v>
      </c>
      <c r="J159" s="9">
        <v>21925</v>
      </c>
      <c r="K159" s="9">
        <v>25</v>
      </c>
      <c r="L159" s="2" t="s">
        <v>30</v>
      </c>
      <c r="M159" s="2" t="s">
        <v>19</v>
      </c>
    </row>
    <row r="160" spans="1:13" ht="15.75" customHeight="1" x14ac:dyDescent="0.3">
      <c r="A160" s="2" t="s">
        <v>346</v>
      </c>
      <c r="B160" s="2" t="s">
        <v>43</v>
      </c>
      <c r="C160" s="2" t="s">
        <v>129</v>
      </c>
      <c r="D160" s="2" t="s">
        <v>35</v>
      </c>
      <c r="E160" s="2" t="s">
        <v>71</v>
      </c>
      <c r="F160" s="9">
        <v>2120</v>
      </c>
      <c r="G160" s="9">
        <v>158</v>
      </c>
      <c r="H160" s="9">
        <v>488</v>
      </c>
      <c r="I160" s="9">
        <v>12720</v>
      </c>
      <c r="J160" s="9">
        <v>12085</v>
      </c>
      <c r="K160" s="9">
        <v>17</v>
      </c>
      <c r="L160" s="2" t="s">
        <v>62</v>
      </c>
      <c r="M160" s="2" t="s">
        <v>25</v>
      </c>
    </row>
    <row r="161" spans="1:13" ht="15.75" customHeight="1" x14ac:dyDescent="0.3">
      <c r="A161" s="2" t="s">
        <v>347</v>
      </c>
      <c r="B161" s="2" t="s">
        <v>14</v>
      </c>
      <c r="C161" s="2" t="s">
        <v>348</v>
      </c>
      <c r="D161" s="2" t="s">
        <v>74</v>
      </c>
      <c r="E161" s="2" t="s">
        <v>145</v>
      </c>
      <c r="F161" s="9">
        <v>1082</v>
      </c>
      <c r="G161" s="9">
        <v>209</v>
      </c>
      <c r="H161" s="9">
        <v>484</v>
      </c>
      <c r="I161" s="9">
        <v>19476</v>
      </c>
      <c r="J161" s="9">
        <v>18654</v>
      </c>
      <c r="K161" s="9">
        <v>20</v>
      </c>
      <c r="L161" s="2" t="s">
        <v>30</v>
      </c>
    </row>
    <row r="162" spans="1:13" ht="15.75" customHeight="1" x14ac:dyDescent="0.3">
      <c r="A162" s="2" t="s">
        <v>349</v>
      </c>
      <c r="B162" s="2" t="s">
        <v>14</v>
      </c>
      <c r="C162" s="2" t="s">
        <v>350</v>
      </c>
      <c r="D162" s="2" t="s">
        <v>22</v>
      </c>
      <c r="E162" s="2" t="s">
        <v>23</v>
      </c>
      <c r="F162" s="9">
        <v>4671</v>
      </c>
      <c r="G162" s="9">
        <v>876</v>
      </c>
      <c r="H162" s="9">
        <v>366</v>
      </c>
      <c r="I162" s="9">
        <v>51381</v>
      </c>
      <c r="J162" s="9">
        <v>50565</v>
      </c>
      <c r="K162" s="9">
        <v>245</v>
      </c>
      <c r="L162" s="2" t="s">
        <v>30</v>
      </c>
      <c r="M162" s="2" t="s">
        <v>38</v>
      </c>
    </row>
    <row r="163" spans="1:13" ht="15.75" customHeight="1" x14ac:dyDescent="0.3">
      <c r="A163" s="2" t="s">
        <v>351</v>
      </c>
      <c r="B163" s="2" t="s">
        <v>43</v>
      </c>
      <c r="C163" s="2" t="s">
        <v>352</v>
      </c>
      <c r="D163" s="2" t="s">
        <v>35</v>
      </c>
      <c r="E163" s="2" t="s">
        <v>71</v>
      </c>
      <c r="F163" s="9">
        <v>3430</v>
      </c>
      <c r="G163" s="9">
        <v>566</v>
      </c>
      <c r="H163" s="9">
        <v>164</v>
      </c>
      <c r="I163" s="9">
        <v>48020</v>
      </c>
      <c r="J163" s="9">
        <v>47305</v>
      </c>
      <c r="K163" s="9">
        <v>120</v>
      </c>
      <c r="L163" s="2" t="s">
        <v>62</v>
      </c>
    </row>
    <row r="164" spans="1:13" ht="15.75" customHeight="1" x14ac:dyDescent="0.3">
      <c r="A164" s="2" t="s">
        <v>353</v>
      </c>
      <c r="B164" s="2" t="s">
        <v>33</v>
      </c>
      <c r="C164" s="2" t="s">
        <v>354</v>
      </c>
      <c r="D164" s="2" t="s">
        <v>52</v>
      </c>
      <c r="E164" s="2" t="s">
        <v>215</v>
      </c>
      <c r="F164" s="9">
        <v>4501</v>
      </c>
      <c r="G164" s="9">
        <v>375</v>
      </c>
      <c r="H164" s="9">
        <v>323</v>
      </c>
      <c r="I164" s="9">
        <v>22505</v>
      </c>
      <c r="J164" s="9">
        <v>21836</v>
      </c>
      <c r="K164" s="9">
        <v>132</v>
      </c>
      <c r="L164" s="2" t="s">
        <v>30</v>
      </c>
      <c r="M164" s="2" t="s">
        <v>25</v>
      </c>
    </row>
    <row r="165" spans="1:13" ht="15.75" customHeight="1" x14ac:dyDescent="0.3">
      <c r="A165" s="2" t="s">
        <v>355</v>
      </c>
      <c r="B165" s="2" t="s">
        <v>27</v>
      </c>
      <c r="C165" s="2" t="s">
        <v>92</v>
      </c>
      <c r="D165" s="2" t="s">
        <v>22</v>
      </c>
      <c r="E165" s="2" t="s">
        <v>104</v>
      </c>
      <c r="F165" s="9">
        <v>4934</v>
      </c>
      <c r="G165" s="9">
        <v>971</v>
      </c>
      <c r="H165" s="9">
        <v>156</v>
      </c>
      <c r="I165" s="9">
        <v>39472</v>
      </c>
      <c r="J165" s="9">
        <v>39025</v>
      </c>
      <c r="K165" s="9">
        <v>169</v>
      </c>
      <c r="L165" s="2" t="s">
        <v>95</v>
      </c>
      <c r="M165" s="2" t="s">
        <v>38</v>
      </c>
    </row>
    <row r="166" spans="1:13" ht="15.75" customHeight="1" x14ac:dyDescent="0.3">
      <c r="A166" s="2" t="s">
        <v>356</v>
      </c>
      <c r="B166" s="2" t="s">
        <v>14</v>
      </c>
      <c r="C166" s="2" t="s">
        <v>237</v>
      </c>
      <c r="D166" s="2" t="s">
        <v>22</v>
      </c>
      <c r="E166" s="2" t="s">
        <v>23</v>
      </c>
      <c r="F166" s="9">
        <v>3239</v>
      </c>
      <c r="G166" s="9">
        <v>43</v>
      </c>
      <c r="H166" s="9">
        <v>211</v>
      </c>
      <c r="I166" s="9">
        <v>22673</v>
      </c>
      <c r="J166" s="9">
        <v>22171</v>
      </c>
      <c r="K166" s="9">
        <v>230</v>
      </c>
      <c r="L166" s="2" t="s">
        <v>30</v>
      </c>
      <c r="M166" s="2" t="s">
        <v>25</v>
      </c>
    </row>
    <row r="167" spans="1:13" ht="15.75" customHeight="1" x14ac:dyDescent="0.3">
      <c r="A167" s="2" t="s">
        <v>357</v>
      </c>
      <c r="B167" s="2" t="s">
        <v>14</v>
      </c>
      <c r="C167" s="2" t="s">
        <v>70</v>
      </c>
      <c r="D167" s="2" t="s">
        <v>16</v>
      </c>
      <c r="E167" s="2" t="s">
        <v>17</v>
      </c>
      <c r="F167" s="9">
        <v>1076</v>
      </c>
      <c r="G167" s="9">
        <v>313</v>
      </c>
      <c r="H167" s="9">
        <v>306</v>
      </c>
      <c r="I167" s="9">
        <v>11836</v>
      </c>
      <c r="J167" s="9">
        <v>11596</v>
      </c>
      <c r="K167" s="9">
        <v>104</v>
      </c>
      <c r="L167" s="2" t="s">
        <v>62</v>
      </c>
      <c r="M167" s="2" t="s">
        <v>19</v>
      </c>
    </row>
    <row r="168" spans="1:13" ht="15.75" customHeight="1" x14ac:dyDescent="0.3">
      <c r="A168" s="2" t="s">
        <v>358</v>
      </c>
      <c r="B168" s="2" t="s">
        <v>33</v>
      </c>
      <c r="C168" s="2" t="s">
        <v>307</v>
      </c>
      <c r="D168" s="2" t="s">
        <v>22</v>
      </c>
      <c r="E168" s="2" t="s">
        <v>113</v>
      </c>
      <c r="F168" s="9">
        <v>4771</v>
      </c>
      <c r="G168" s="9">
        <v>818</v>
      </c>
      <c r="H168" s="9">
        <v>56</v>
      </c>
      <c r="I168" s="9">
        <v>57252</v>
      </c>
      <c r="J168" s="9">
        <v>56378</v>
      </c>
      <c r="K168" s="9">
        <v>150</v>
      </c>
      <c r="L168" s="2" t="s">
        <v>62</v>
      </c>
    </row>
    <row r="169" spans="1:13" ht="15.75" customHeight="1" x14ac:dyDescent="0.3">
      <c r="A169" s="2" t="s">
        <v>359</v>
      </c>
      <c r="B169" s="2" t="s">
        <v>43</v>
      </c>
      <c r="C169" s="2" t="s">
        <v>360</v>
      </c>
      <c r="D169" s="2" t="s">
        <v>22</v>
      </c>
      <c r="E169" s="2" t="s">
        <v>56</v>
      </c>
      <c r="F169" s="9">
        <v>2418</v>
      </c>
      <c r="G169" s="9">
        <v>754</v>
      </c>
      <c r="H169" s="9">
        <v>54</v>
      </c>
      <c r="I169" s="9">
        <v>43524</v>
      </c>
      <c r="J169" s="9">
        <v>42743</v>
      </c>
      <c r="K169" s="9">
        <v>182</v>
      </c>
      <c r="L169" s="2" t="s">
        <v>37</v>
      </c>
      <c r="M169" s="2" t="s">
        <v>19</v>
      </c>
    </row>
    <row r="170" spans="1:13" ht="15.75" customHeight="1" x14ac:dyDescent="0.3">
      <c r="A170" s="2" t="s">
        <v>361</v>
      </c>
      <c r="B170" s="2" t="s">
        <v>27</v>
      </c>
      <c r="C170" s="2" t="s">
        <v>362</v>
      </c>
      <c r="D170" s="2" t="s">
        <v>74</v>
      </c>
      <c r="E170" s="2" t="s">
        <v>219</v>
      </c>
      <c r="F170" s="9">
        <v>3809</v>
      </c>
      <c r="G170" s="9">
        <v>273</v>
      </c>
      <c r="H170" s="9">
        <v>200</v>
      </c>
      <c r="I170" s="9">
        <v>34281</v>
      </c>
      <c r="J170" s="9">
        <v>33534</v>
      </c>
      <c r="K170" s="9">
        <v>83</v>
      </c>
      <c r="L170" s="2" t="s">
        <v>37</v>
      </c>
      <c r="M170" s="2" t="s">
        <v>19</v>
      </c>
    </row>
    <row r="171" spans="1:13" ht="15.75" customHeight="1" x14ac:dyDescent="0.3">
      <c r="A171" s="2" t="s">
        <v>363</v>
      </c>
      <c r="B171" s="2" t="s">
        <v>14</v>
      </c>
      <c r="C171" s="2" t="s">
        <v>364</v>
      </c>
      <c r="D171" s="2" t="s">
        <v>22</v>
      </c>
      <c r="E171" s="2" t="s">
        <v>23</v>
      </c>
      <c r="F171" s="9">
        <v>3577</v>
      </c>
      <c r="G171" s="9">
        <v>596</v>
      </c>
      <c r="H171" s="9">
        <v>493</v>
      </c>
      <c r="I171" s="9">
        <v>67963</v>
      </c>
      <c r="J171" s="9">
        <v>67839</v>
      </c>
      <c r="K171" s="9">
        <v>53</v>
      </c>
      <c r="L171" s="2" t="s">
        <v>30</v>
      </c>
      <c r="M171" s="2" t="s">
        <v>31</v>
      </c>
    </row>
    <row r="172" spans="1:13" ht="15.75" customHeight="1" x14ac:dyDescent="0.3">
      <c r="A172" s="2" t="s">
        <v>365</v>
      </c>
      <c r="B172" s="2" t="s">
        <v>27</v>
      </c>
      <c r="C172" s="2" t="s">
        <v>366</v>
      </c>
      <c r="D172" s="2" t="s">
        <v>74</v>
      </c>
      <c r="E172" s="2" t="s">
        <v>219</v>
      </c>
      <c r="F172" s="9">
        <v>1018</v>
      </c>
      <c r="G172" s="9">
        <v>447</v>
      </c>
      <c r="H172" s="9">
        <v>332</v>
      </c>
      <c r="I172" s="9">
        <v>18324</v>
      </c>
      <c r="J172" s="9">
        <v>18164</v>
      </c>
      <c r="K172" s="9">
        <v>38</v>
      </c>
      <c r="L172" s="2" t="s">
        <v>62</v>
      </c>
      <c r="M172" s="2" t="s">
        <v>25</v>
      </c>
    </row>
    <row r="173" spans="1:13" ht="15.75" customHeight="1" x14ac:dyDescent="0.3">
      <c r="A173" s="2" t="s">
        <v>367</v>
      </c>
      <c r="B173" s="2" t="s">
        <v>43</v>
      </c>
      <c r="C173" s="2" t="s">
        <v>368</v>
      </c>
      <c r="D173" s="2" t="s">
        <v>45</v>
      </c>
      <c r="E173" s="2" t="s">
        <v>46</v>
      </c>
      <c r="F173" s="9">
        <v>3073</v>
      </c>
      <c r="G173" s="9">
        <v>553</v>
      </c>
      <c r="H173" s="9">
        <v>174</v>
      </c>
      <c r="I173" s="9">
        <v>52241</v>
      </c>
      <c r="J173" s="9">
        <v>51605</v>
      </c>
      <c r="K173" s="9">
        <v>246</v>
      </c>
      <c r="L173" s="2" t="s">
        <v>37</v>
      </c>
      <c r="M173" s="2" t="s">
        <v>31</v>
      </c>
    </row>
    <row r="174" spans="1:13" ht="15.75" customHeight="1" x14ac:dyDescent="0.3">
      <c r="A174" s="2" t="s">
        <v>369</v>
      </c>
      <c r="B174" s="2" t="s">
        <v>14</v>
      </c>
      <c r="C174" s="2" t="s">
        <v>370</v>
      </c>
      <c r="D174" s="2" t="s">
        <v>74</v>
      </c>
      <c r="E174" s="2" t="s">
        <v>145</v>
      </c>
      <c r="F174" s="9">
        <v>1330</v>
      </c>
      <c r="G174" s="9">
        <v>925</v>
      </c>
      <c r="H174" s="9">
        <v>35</v>
      </c>
      <c r="I174" s="9">
        <v>15960</v>
      </c>
      <c r="J174" s="9">
        <v>15379</v>
      </c>
      <c r="K174" s="9">
        <v>229</v>
      </c>
      <c r="L174" s="2" t="s">
        <v>62</v>
      </c>
      <c r="M174" s="2" t="s">
        <v>31</v>
      </c>
    </row>
    <row r="175" spans="1:13" ht="15.75" customHeight="1" x14ac:dyDescent="0.3">
      <c r="A175" s="2" t="s">
        <v>371</v>
      </c>
      <c r="B175" s="2" t="s">
        <v>43</v>
      </c>
      <c r="C175" s="2" t="s">
        <v>172</v>
      </c>
      <c r="D175" s="2" t="s">
        <v>22</v>
      </c>
      <c r="E175" s="2" t="s">
        <v>56</v>
      </c>
      <c r="F175" s="9">
        <v>3828</v>
      </c>
      <c r="G175" s="9">
        <v>148</v>
      </c>
      <c r="H175" s="9">
        <v>253</v>
      </c>
      <c r="I175" s="9">
        <v>30624</v>
      </c>
      <c r="J175" s="9">
        <v>30229</v>
      </c>
      <c r="K175" s="9">
        <v>235</v>
      </c>
      <c r="L175" s="2" t="s">
        <v>37</v>
      </c>
    </row>
    <row r="176" spans="1:13" ht="15.75" customHeight="1" x14ac:dyDescent="0.3">
      <c r="A176" s="2" t="s">
        <v>372</v>
      </c>
      <c r="B176" s="2" t="s">
        <v>33</v>
      </c>
      <c r="C176" s="2" t="s">
        <v>373</v>
      </c>
      <c r="D176" s="2" t="s">
        <v>16</v>
      </c>
      <c r="E176" s="2" t="s">
        <v>82</v>
      </c>
      <c r="F176" s="9">
        <v>142</v>
      </c>
      <c r="G176" s="9">
        <v>784</v>
      </c>
      <c r="H176" s="9">
        <v>183</v>
      </c>
      <c r="I176" s="9">
        <v>1704</v>
      </c>
      <c r="J176" s="9">
        <v>995</v>
      </c>
      <c r="K176" s="9">
        <v>154</v>
      </c>
      <c r="L176" s="2" t="s">
        <v>62</v>
      </c>
      <c r="M176" s="2" t="s">
        <v>38</v>
      </c>
    </row>
    <row r="177" spans="1:13" ht="15.75" customHeight="1" x14ac:dyDescent="0.3">
      <c r="A177" s="2" t="s">
        <v>374</v>
      </c>
      <c r="B177" s="2" t="s">
        <v>43</v>
      </c>
      <c r="C177" s="2" t="s">
        <v>375</v>
      </c>
      <c r="D177" s="2" t="s">
        <v>74</v>
      </c>
      <c r="E177" s="2" t="s">
        <v>75</v>
      </c>
      <c r="F177" s="9">
        <v>3798</v>
      </c>
      <c r="G177" s="9">
        <v>31</v>
      </c>
      <c r="H177" s="9">
        <v>279</v>
      </c>
      <c r="I177" s="9">
        <v>75960</v>
      </c>
      <c r="J177" s="9">
        <v>75813</v>
      </c>
      <c r="K177" s="9">
        <v>266</v>
      </c>
      <c r="L177" s="2" t="s">
        <v>30</v>
      </c>
      <c r="M177" s="2" t="s">
        <v>19</v>
      </c>
    </row>
    <row r="178" spans="1:13" ht="15.75" customHeight="1" x14ac:dyDescent="0.3">
      <c r="A178" s="2" t="s">
        <v>376</v>
      </c>
      <c r="B178" s="2" t="s">
        <v>33</v>
      </c>
      <c r="C178" s="2" t="s">
        <v>377</v>
      </c>
      <c r="D178" s="2" t="s">
        <v>45</v>
      </c>
      <c r="E178" s="2" t="s">
        <v>88</v>
      </c>
      <c r="F178" s="9">
        <v>3099</v>
      </c>
      <c r="G178" s="9">
        <v>694</v>
      </c>
      <c r="H178" s="9">
        <v>171</v>
      </c>
      <c r="I178" s="9">
        <v>43386</v>
      </c>
      <c r="J178" s="9">
        <v>42921</v>
      </c>
      <c r="K178" s="9">
        <v>52</v>
      </c>
      <c r="L178" s="2" t="s">
        <v>30</v>
      </c>
      <c r="M178" s="2" t="s">
        <v>31</v>
      </c>
    </row>
    <row r="179" spans="1:13" ht="15.75" customHeight="1" x14ac:dyDescent="0.3">
      <c r="A179" s="2" t="s">
        <v>378</v>
      </c>
      <c r="B179" s="2" t="s">
        <v>33</v>
      </c>
      <c r="C179" s="2" t="s">
        <v>205</v>
      </c>
      <c r="D179" s="2" t="s">
        <v>74</v>
      </c>
      <c r="E179" s="2" t="s">
        <v>85</v>
      </c>
      <c r="F179" s="9">
        <v>129</v>
      </c>
      <c r="G179" s="9">
        <v>643</v>
      </c>
      <c r="H179" s="9">
        <v>136</v>
      </c>
      <c r="I179" s="9">
        <v>1290</v>
      </c>
      <c r="J179" s="9">
        <v>839</v>
      </c>
      <c r="K179" s="9">
        <v>238</v>
      </c>
      <c r="L179" s="2" t="s">
        <v>30</v>
      </c>
      <c r="M179" s="2" t="s">
        <v>38</v>
      </c>
    </row>
    <row r="180" spans="1:13" ht="15.75" customHeight="1" x14ac:dyDescent="0.3">
      <c r="A180" s="2" t="s">
        <v>379</v>
      </c>
      <c r="B180" s="2" t="s">
        <v>43</v>
      </c>
      <c r="C180" s="2" t="s">
        <v>315</v>
      </c>
      <c r="D180" s="2" t="s">
        <v>45</v>
      </c>
      <c r="E180" s="2" t="s">
        <v>46</v>
      </c>
      <c r="F180" s="9">
        <v>3796</v>
      </c>
      <c r="G180" s="9">
        <v>667</v>
      </c>
      <c r="H180" s="9">
        <v>395</v>
      </c>
      <c r="I180" s="9">
        <v>64532</v>
      </c>
      <c r="J180" s="9">
        <v>63550</v>
      </c>
      <c r="K180" s="9">
        <v>292</v>
      </c>
      <c r="L180" s="2" t="s">
        <v>30</v>
      </c>
    </row>
    <row r="181" spans="1:13" ht="15.75" customHeight="1" x14ac:dyDescent="0.3">
      <c r="A181" s="2" t="s">
        <v>380</v>
      </c>
      <c r="B181" s="2" t="s">
        <v>27</v>
      </c>
      <c r="C181" s="2" t="s">
        <v>362</v>
      </c>
      <c r="D181" s="2" t="s">
        <v>22</v>
      </c>
      <c r="E181" s="2" t="s">
        <v>104</v>
      </c>
      <c r="F181" s="9">
        <v>3711</v>
      </c>
      <c r="G181" s="9">
        <v>352</v>
      </c>
      <c r="H181" s="9">
        <v>290</v>
      </c>
      <c r="I181" s="9">
        <v>48243</v>
      </c>
      <c r="J181" s="9">
        <v>47579</v>
      </c>
      <c r="K181" s="9">
        <v>11</v>
      </c>
      <c r="L181" s="2" t="s">
        <v>30</v>
      </c>
      <c r="M181" s="2" t="s">
        <v>19</v>
      </c>
    </row>
    <row r="182" spans="1:13" ht="15.75" customHeight="1" x14ac:dyDescent="0.3">
      <c r="A182" s="2" t="s">
        <v>381</v>
      </c>
      <c r="B182" s="2" t="s">
        <v>27</v>
      </c>
      <c r="C182" s="2" t="s">
        <v>382</v>
      </c>
      <c r="D182" s="2" t="s">
        <v>52</v>
      </c>
      <c r="E182" s="2" t="s">
        <v>53</v>
      </c>
      <c r="F182" s="9">
        <v>606</v>
      </c>
      <c r="G182" s="9">
        <v>789</v>
      </c>
      <c r="H182" s="9">
        <v>470</v>
      </c>
      <c r="I182" s="9">
        <v>7878</v>
      </c>
      <c r="J182" s="9">
        <v>7389</v>
      </c>
      <c r="K182" s="9">
        <v>239</v>
      </c>
      <c r="L182" s="2" t="s">
        <v>37</v>
      </c>
      <c r="M182" s="2" t="s">
        <v>31</v>
      </c>
    </row>
    <row r="183" spans="1:13" ht="15.75" customHeight="1" x14ac:dyDescent="0.3">
      <c r="A183" s="2" t="s">
        <v>383</v>
      </c>
      <c r="B183" s="2" t="s">
        <v>43</v>
      </c>
      <c r="C183" s="2" t="s">
        <v>115</v>
      </c>
      <c r="D183" s="2" t="s">
        <v>52</v>
      </c>
      <c r="E183" s="2" t="s">
        <v>59</v>
      </c>
      <c r="F183" s="9">
        <v>4689</v>
      </c>
      <c r="G183" s="9">
        <v>134</v>
      </c>
      <c r="H183" s="9">
        <v>403</v>
      </c>
      <c r="I183" s="9">
        <v>51579</v>
      </c>
      <c r="J183" s="9">
        <v>50924</v>
      </c>
      <c r="K183" s="9">
        <v>173</v>
      </c>
      <c r="L183" s="2" t="s">
        <v>30</v>
      </c>
      <c r="M183" s="2" t="s">
        <v>38</v>
      </c>
    </row>
    <row r="184" spans="1:13" ht="15.75" customHeight="1" x14ac:dyDescent="0.3">
      <c r="A184" s="2" t="s">
        <v>384</v>
      </c>
      <c r="B184" s="2" t="s">
        <v>33</v>
      </c>
      <c r="C184" s="2" t="s">
        <v>385</v>
      </c>
      <c r="D184" s="2" t="s">
        <v>35</v>
      </c>
      <c r="E184" s="2" t="s">
        <v>36</v>
      </c>
      <c r="F184" s="9">
        <v>360</v>
      </c>
      <c r="G184" s="9">
        <v>590</v>
      </c>
      <c r="H184" s="9">
        <v>393</v>
      </c>
      <c r="I184" s="9">
        <v>4680</v>
      </c>
      <c r="J184" s="9">
        <v>4322</v>
      </c>
      <c r="K184" s="9">
        <v>208</v>
      </c>
      <c r="L184" s="2" t="s">
        <v>62</v>
      </c>
      <c r="M184" s="2" t="s">
        <v>25</v>
      </c>
    </row>
    <row r="185" spans="1:13" ht="15.75" customHeight="1" x14ac:dyDescent="0.3">
      <c r="A185" s="2" t="s">
        <v>386</v>
      </c>
      <c r="B185" s="2" t="s">
        <v>14</v>
      </c>
      <c r="C185" s="2" t="s">
        <v>387</v>
      </c>
      <c r="D185" s="2" t="s">
        <v>52</v>
      </c>
      <c r="E185" s="2" t="s">
        <v>132</v>
      </c>
      <c r="F185" s="9">
        <v>3215</v>
      </c>
      <c r="G185" s="9">
        <v>960</v>
      </c>
      <c r="H185" s="9">
        <v>202</v>
      </c>
      <c r="I185" s="9">
        <v>32150</v>
      </c>
      <c r="J185" s="9">
        <v>31404</v>
      </c>
      <c r="K185" s="9">
        <v>251</v>
      </c>
      <c r="L185" s="2" t="s">
        <v>37</v>
      </c>
      <c r="M185" s="2" t="s">
        <v>19</v>
      </c>
    </row>
    <row r="186" spans="1:13" ht="15.75" customHeight="1" x14ac:dyDescent="0.3">
      <c r="A186" s="2" t="s">
        <v>388</v>
      </c>
      <c r="B186" s="2" t="s">
        <v>33</v>
      </c>
      <c r="C186" s="2" t="s">
        <v>389</v>
      </c>
      <c r="D186" s="2" t="s">
        <v>45</v>
      </c>
      <c r="E186" s="2" t="s">
        <v>88</v>
      </c>
      <c r="F186" s="9">
        <v>4523</v>
      </c>
      <c r="G186" s="9">
        <v>61</v>
      </c>
      <c r="H186" s="9">
        <v>157</v>
      </c>
      <c r="I186" s="9">
        <v>49753</v>
      </c>
      <c r="J186" s="9">
        <v>49329</v>
      </c>
      <c r="K186" s="9">
        <v>71</v>
      </c>
      <c r="L186" s="2" t="s">
        <v>37</v>
      </c>
    </row>
    <row r="187" spans="1:13" ht="15.75" customHeight="1" x14ac:dyDescent="0.3">
      <c r="A187" s="2" t="s">
        <v>390</v>
      </c>
      <c r="B187" s="2" t="s">
        <v>43</v>
      </c>
      <c r="C187" s="2" t="s">
        <v>348</v>
      </c>
      <c r="D187" s="2" t="s">
        <v>45</v>
      </c>
      <c r="E187" s="2" t="s">
        <v>46</v>
      </c>
      <c r="F187" s="9">
        <v>4292</v>
      </c>
      <c r="G187" s="9">
        <v>51</v>
      </c>
      <c r="H187" s="9">
        <v>392</v>
      </c>
      <c r="I187" s="9">
        <v>55796</v>
      </c>
      <c r="J187" s="9">
        <v>54826</v>
      </c>
      <c r="K187" s="9">
        <v>264</v>
      </c>
      <c r="L187" s="2" t="s">
        <v>37</v>
      </c>
      <c r="M187" s="2" t="s">
        <v>31</v>
      </c>
    </row>
    <row r="188" spans="1:13" ht="15.75" customHeight="1" x14ac:dyDescent="0.3">
      <c r="A188" s="2" t="s">
        <v>391</v>
      </c>
      <c r="B188" s="2" t="s">
        <v>14</v>
      </c>
      <c r="C188" s="2" t="s">
        <v>392</v>
      </c>
      <c r="D188" s="2" t="s">
        <v>16</v>
      </c>
      <c r="E188" s="2" t="s">
        <v>17</v>
      </c>
      <c r="F188" s="9">
        <v>1644</v>
      </c>
      <c r="G188" s="9">
        <v>546</v>
      </c>
      <c r="H188" s="9">
        <v>150</v>
      </c>
      <c r="I188" s="9">
        <v>27948</v>
      </c>
      <c r="J188" s="9">
        <v>27184</v>
      </c>
      <c r="K188" s="9">
        <v>300</v>
      </c>
      <c r="L188" s="2" t="s">
        <v>37</v>
      </c>
      <c r="M188" s="2" t="s">
        <v>31</v>
      </c>
    </row>
    <row r="189" spans="1:13" ht="15.75" customHeight="1" x14ac:dyDescent="0.3">
      <c r="A189" s="2" t="s">
        <v>393</v>
      </c>
      <c r="B189" s="2" t="s">
        <v>27</v>
      </c>
      <c r="C189" s="2" t="s">
        <v>226</v>
      </c>
      <c r="D189" s="2" t="s">
        <v>16</v>
      </c>
      <c r="E189" s="2" t="s">
        <v>29</v>
      </c>
      <c r="F189" s="9">
        <v>2728</v>
      </c>
      <c r="G189" s="9">
        <v>533</v>
      </c>
      <c r="H189" s="9">
        <v>215</v>
      </c>
      <c r="I189" s="9">
        <v>40920</v>
      </c>
      <c r="J189" s="9">
        <v>40816</v>
      </c>
      <c r="K189" s="9">
        <v>137</v>
      </c>
      <c r="L189" s="2" t="s">
        <v>62</v>
      </c>
      <c r="M189" s="2" t="s">
        <v>25</v>
      </c>
    </row>
    <row r="190" spans="1:13" ht="15.75" customHeight="1" x14ac:dyDescent="0.3">
      <c r="A190" s="2" t="s">
        <v>394</v>
      </c>
      <c r="B190" s="2" t="s">
        <v>43</v>
      </c>
      <c r="C190" s="2" t="s">
        <v>234</v>
      </c>
      <c r="D190" s="2" t="s">
        <v>16</v>
      </c>
      <c r="E190" s="2" t="s">
        <v>65</v>
      </c>
      <c r="F190" s="9">
        <v>3360</v>
      </c>
      <c r="G190" s="9">
        <v>525</v>
      </c>
      <c r="H190" s="9">
        <v>500</v>
      </c>
      <c r="I190" s="9">
        <v>60480</v>
      </c>
      <c r="J190" s="9">
        <v>59610</v>
      </c>
      <c r="K190" s="9">
        <v>192</v>
      </c>
      <c r="L190" s="2" t="s">
        <v>30</v>
      </c>
      <c r="M190" s="2" t="s">
        <v>19</v>
      </c>
    </row>
    <row r="191" spans="1:13" ht="15.75" customHeight="1" x14ac:dyDescent="0.3">
      <c r="A191" s="2" t="s">
        <v>395</v>
      </c>
      <c r="B191" s="2" t="s">
        <v>27</v>
      </c>
      <c r="C191" s="2" t="s">
        <v>396</v>
      </c>
      <c r="D191" s="2" t="s">
        <v>22</v>
      </c>
      <c r="E191" s="2" t="s">
        <v>104</v>
      </c>
      <c r="F191" s="9">
        <v>1963</v>
      </c>
      <c r="G191" s="9">
        <v>213</v>
      </c>
      <c r="H191" s="9">
        <v>19</v>
      </c>
      <c r="I191" s="9">
        <v>39260</v>
      </c>
      <c r="J191" s="9">
        <v>38771</v>
      </c>
      <c r="K191" s="9">
        <v>145</v>
      </c>
      <c r="L191" s="2" t="s">
        <v>62</v>
      </c>
    </row>
    <row r="192" spans="1:13" ht="15.75" customHeight="1" x14ac:dyDescent="0.3">
      <c r="A192" s="2" t="s">
        <v>397</v>
      </c>
      <c r="B192" s="2" t="s">
        <v>27</v>
      </c>
      <c r="C192" s="2" t="s">
        <v>362</v>
      </c>
      <c r="D192" s="2" t="s">
        <v>35</v>
      </c>
      <c r="E192" s="2" t="s">
        <v>154</v>
      </c>
      <c r="F192" s="9">
        <v>4285</v>
      </c>
      <c r="G192" s="9">
        <v>886</v>
      </c>
      <c r="H192" s="9">
        <v>376</v>
      </c>
      <c r="I192" s="9">
        <v>55705</v>
      </c>
      <c r="J192" s="9">
        <v>55556</v>
      </c>
      <c r="K192" s="9">
        <v>51</v>
      </c>
      <c r="L192" s="2" t="s">
        <v>62</v>
      </c>
      <c r="M192" s="2" t="s">
        <v>31</v>
      </c>
    </row>
    <row r="193" spans="1:13" ht="15.75" customHeight="1" x14ac:dyDescent="0.3">
      <c r="A193" s="2" t="s">
        <v>398</v>
      </c>
      <c r="B193" s="2" t="s">
        <v>33</v>
      </c>
      <c r="C193" s="2" t="s">
        <v>399</v>
      </c>
      <c r="D193" s="2" t="s">
        <v>74</v>
      </c>
      <c r="E193" s="2" t="s">
        <v>85</v>
      </c>
      <c r="F193" s="9">
        <v>1176</v>
      </c>
      <c r="G193" s="9">
        <v>464</v>
      </c>
      <c r="H193" s="9">
        <v>394</v>
      </c>
      <c r="I193" s="9">
        <v>14112</v>
      </c>
      <c r="J193" s="9">
        <v>13588</v>
      </c>
      <c r="K193" s="9">
        <v>272</v>
      </c>
      <c r="L193" s="2" t="s">
        <v>37</v>
      </c>
    </row>
    <row r="194" spans="1:13" ht="15.75" customHeight="1" x14ac:dyDescent="0.3">
      <c r="A194" s="2" t="s">
        <v>400</v>
      </c>
      <c r="B194" s="2" t="s">
        <v>14</v>
      </c>
      <c r="C194" s="2" t="s">
        <v>401</v>
      </c>
      <c r="D194" s="2" t="s">
        <v>52</v>
      </c>
      <c r="E194" s="2" t="s">
        <v>132</v>
      </c>
      <c r="F194" s="9">
        <v>4858</v>
      </c>
      <c r="G194" s="9">
        <v>317</v>
      </c>
      <c r="H194" s="9">
        <v>129</v>
      </c>
      <c r="I194" s="9">
        <v>53438</v>
      </c>
      <c r="J194" s="9">
        <v>52687</v>
      </c>
      <c r="K194" s="9">
        <v>223</v>
      </c>
      <c r="L194" s="2" t="s">
        <v>37</v>
      </c>
      <c r="M194" s="2" t="s">
        <v>31</v>
      </c>
    </row>
    <row r="195" spans="1:13" ht="15.75" customHeight="1" x14ac:dyDescent="0.3">
      <c r="A195" s="2" t="s">
        <v>402</v>
      </c>
      <c r="B195" s="2" t="s">
        <v>27</v>
      </c>
      <c r="C195" s="2" t="s">
        <v>274</v>
      </c>
      <c r="D195" s="2" t="s">
        <v>35</v>
      </c>
      <c r="E195" s="2" t="s">
        <v>154</v>
      </c>
      <c r="F195" s="9">
        <v>4350</v>
      </c>
      <c r="G195" s="9">
        <v>771</v>
      </c>
      <c r="H195" s="9">
        <v>7</v>
      </c>
      <c r="I195" s="9">
        <v>60900</v>
      </c>
      <c r="J195" s="9">
        <v>60592</v>
      </c>
      <c r="K195" s="9">
        <v>195</v>
      </c>
      <c r="L195" s="2" t="s">
        <v>37</v>
      </c>
      <c r="M195" s="2" t="s">
        <v>19</v>
      </c>
    </row>
    <row r="196" spans="1:13" ht="15.75" customHeight="1" x14ac:dyDescent="0.3">
      <c r="A196" s="2" t="s">
        <v>403</v>
      </c>
      <c r="B196" s="2" t="s">
        <v>33</v>
      </c>
      <c r="C196" s="2" t="s">
        <v>404</v>
      </c>
      <c r="D196" s="2" t="s">
        <v>45</v>
      </c>
      <c r="E196" s="2" t="s">
        <v>88</v>
      </c>
      <c r="F196" s="9">
        <v>914</v>
      </c>
      <c r="G196" s="9">
        <v>464</v>
      </c>
      <c r="H196" s="9">
        <v>246</v>
      </c>
      <c r="I196" s="9">
        <v>11882</v>
      </c>
      <c r="J196" s="9">
        <v>11500</v>
      </c>
      <c r="K196" s="9">
        <v>282</v>
      </c>
      <c r="L196" s="2" t="s">
        <v>216</v>
      </c>
      <c r="M196" s="2" t="s">
        <v>38</v>
      </c>
    </row>
    <row r="197" spans="1:13" ht="15.75" customHeight="1" x14ac:dyDescent="0.3">
      <c r="A197" s="2" t="s">
        <v>405</v>
      </c>
      <c r="B197" s="2" t="s">
        <v>33</v>
      </c>
      <c r="C197" s="2" t="s">
        <v>406</v>
      </c>
      <c r="D197" s="2" t="s">
        <v>22</v>
      </c>
      <c r="E197" s="2" t="s">
        <v>113</v>
      </c>
      <c r="F197" s="9">
        <v>1813</v>
      </c>
      <c r="G197" s="9">
        <v>623</v>
      </c>
      <c r="H197" s="9">
        <v>72</v>
      </c>
      <c r="I197" s="9">
        <v>19943</v>
      </c>
      <c r="J197" s="9">
        <v>18959</v>
      </c>
      <c r="K197" s="9">
        <v>85</v>
      </c>
      <c r="L197" s="2" t="s">
        <v>37</v>
      </c>
      <c r="M197" s="2" t="s">
        <v>31</v>
      </c>
    </row>
    <row r="198" spans="1:13" ht="15.75" customHeight="1" x14ac:dyDescent="0.3">
      <c r="A198" s="2" t="s">
        <v>407</v>
      </c>
      <c r="B198" s="2" t="s">
        <v>14</v>
      </c>
      <c r="C198" s="2" t="s">
        <v>341</v>
      </c>
      <c r="D198" s="2" t="s">
        <v>16</v>
      </c>
      <c r="E198" s="2" t="s">
        <v>17</v>
      </c>
      <c r="F198" s="9">
        <v>4782</v>
      </c>
      <c r="G198" s="9">
        <v>721</v>
      </c>
      <c r="H198" s="9">
        <v>82</v>
      </c>
      <c r="I198" s="9">
        <v>86076</v>
      </c>
      <c r="J198" s="9">
        <v>85339</v>
      </c>
      <c r="K198" s="9">
        <v>19</v>
      </c>
      <c r="L198" s="2" t="s">
        <v>37</v>
      </c>
      <c r="M198" s="2" t="s">
        <v>19</v>
      </c>
    </row>
    <row r="199" spans="1:13" ht="15.75" customHeight="1" x14ac:dyDescent="0.3">
      <c r="A199" s="2" t="s">
        <v>408</v>
      </c>
      <c r="B199" s="2" t="s">
        <v>14</v>
      </c>
      <c r="C199" s="2" t="s">
        <v>409</v>
      </c>
      <c r="D199" s="2" t="s">
        <v>52</v>
      </c>
      <c r="E199" s="2" t="s">
        <v>132</v>
      </c>
      <c r="F199" s="9">
        <v>1048</v>
      </c>
      <c r="G199" s="9">
        <v>374</v>
      </c>
      <c r="H199" s="9">
        <v>450</v>
      </c>
      <c r="I199" s="9">
        <v>9432</v>
      </c>
      <c r="J199" s="9">
        <v>8882</v>
      </c>
      <c r="K199" s="9">
        <v>158</v>
      </c>
      <c r="L199" s="2" t="s">
        <v>30</v>
      </c>
      <c r="M199" s="2" t="s">
        <v>31</v>
      </c>
    </row>
    <row r="200" spans="1:13" ht="15.75" customHeight="1" x14ac:dyDescent="0.3">
      <c r="A200" s="2" t="s">
        <v>410</v>
      </c>
      <c r="B200" s="2" t="s">
        <v>27</v>
      </c>
      <c r="C200" s="2" t="s">
        <v>121</v>
      </c>
      <c r="D200" s="2" t="s">
        <v>45</v>
      </c>
      <c r="E200" s="2" t="s">
        <v>68</v>
      </c>
      <c r="F200" s="9">
        <v>2509</v>
      </c>
      <c r="G200" s="9">
        <v>324</v>
      </c>
      <c r="H200" s="9">
        <v>171</v>
      </c>
      <c r="I200" s="9">
        <v>35126</v>
      </c>
      <c r="J200" s="9">
        <v>34685</v>
      </c>
      <c r="K200" s="9">
        <v>277</v>
      </c>
      <c r="L200" s="2" t="s">
        <v>30</v>
      </c>
      <c r="M200" s="2" t="s">
        <v>25</v>
      </c>
    </row>
    <row r="201" spans="1:13" ht="15.75" customHeight="1" x14ac:dyDescent="0.3">
      <c r="A201" s="2" t="s">
        <v>411</v>
      </c>
      <c r="B201" s="2" t="s">
        <v>43</v>
      </c>
      <c r="C201" s="2" t="s">
        <v>412</v>
      </c>
      <c r="D201" s="2" t="s">
        <v>16</v>
      </c>
      <c r="E201" s="2" t="s">
        <v>65</v>
      </c>
      <c r="F201" s="9">
        <v>3718</v>
      </c>
      <c r="G201" s="9">
        <v>385</v>
      </c>
      <c r="H201" s="9">
        <v>310</v>
      </c>
      <c r="I201" s="9">
        <v>70642</v>
      </c>
      <c r="J201" s="9">
        <v>69749</v>
      </c>
      <c r="K201" s="9">
        <v>233</v>
      </c>
      <c r="L201" s="2" t="s">
        <v>30</v>
      </c>
      <c r="M201" s="2" t="s">
        <v>25</v>
      </c>
    </row>
    <row r="202" spans="1:13" ht="15.75" customHeight="1" x14ac:dyDescent="0.3">
      <c r="A202" s="2" t="s">
        <v>413</v>
      </c>
      <c r="B202" s="2" t="s">
        <v>14</v>
      </c>
      <c r="C202" s="2" t="s">
        <v>414</v>
      </c>
      <c r="D202" s="2" t="s">
        <v>16</v>
      </c>
      <c r="E202" s="2" t="s">
        <v>17</v>
      </c>
      <c r="F202" s="9">
        <v>802</v>
      </c>
      <c r="G202" s="9">
        <v>262</v>
      </c>
      <c r="H202" s="9">
        <v>244</v>
      </c>
      <c r="I202" s="9">
        <v>14436</v>
      </c>
      <c r="J202" s="9">
        <v>14280</v>
      </c>
      <c r="K202" s="9">
        <v>49</v>
      </c>
      <c r="L202" s="2" t="s">
        <v>37</v>
      </c>
      <c r="M202" s="2" t="s">
        <v>19</v>
      </c>
    </row>
    <row r="203" spans="1:13" ht="15.75" customHeight="1" x14ac:dyDescent="0.3">
      <c r="A203" s="2" t="s">
        <v>415</v>
      </c>
      <c r="B203" s="2" t="s">
        <v>43</v>
      </c>
      <c r="C203" s="2" t="s">
        <v>416</v>
      </c>
      <c r="D203" s="2" t="s">
        <v>52</v>
      </c>
      <c r="E203" s="2" t="s">
        <v>59</v>
      </c>
      <c r="F203" s="9">
        <v>1871</v>
      </c>
      <c r="G203" s="9">
        <v>252</v>
      </c>
      <c r="H203" s="9">
        <v>335</v>
      </c>
      <c r="I203" s="9">
        <v>29936</v>
      </c>
      <c r="J203" s="9">
        <v>29576</v>
      </c>
      <c r="K203" s="9">
        <v>288</v>
      </c>
      <c r="L203" s="2" t="s">
        <v>37</v>
      </c>
      <c r="M203" s="2" t="s">
        <v>31</v>
      </c>
    </row>
    <row r="204" spans="1:13" ht="15.75" customHeight="1" x14ac:dyDescent="0.3">
      <c r="A204" s="2" t="s">
        <v>417</v>
      </c>
      <c r="B204" s="2" t="s">
        <v>33</v>
      </c>
      <c r="C204" s="2" t="s">
        <v>418</v>
      </c>
      <c r="D204" s="2" t="s">
        <v>45</v>
      </c>
      <c r="E204" s="2" t="s">
        <v>88</v>
      </c>
      <c r="F204" s="9">
        <v>3773</v>
      </c>
      <c r="G204" s="9">
        <v>299</v>
      </c>
      <c r="H204" s="9">
        <v>38</v>
      </c>
      <c r="I204" s="9">
        <v>71687</v>
      </c>
      <c r="J204" s="9">
        <v>71447</v>
      </c>
      <c r="K204" s="9">
        <v>286</v>
      </c>
      <c r="L204" s="2" t="s">
        <v>62</v>
      </c>
      <c r="M204" s="2" t="s">
        <v>19</v>
      </c>
    </row>
    <row r="205" spans="1:13" ht="15.75" customHeight="1" x14ac:dyDescent="0.3">
      <c r="A205" s="2" t="s">
        <v>419</v>
      </c>
      <c r="B205" s="2" t="s">
        <v>33</v>
      </c>
      <c r="C205" s="2" t="s">
        <v>336</v>
      </c>
      <c r="D205" s="2" t="s">
        <v>45</v>
      </c>
      <c r="E205" s="2" t="s">
        <v>88</v>
      </c>
      <c r="F205" s="9">
        <v>2234</v>
      </c>
      <c r="G205" s="9">
        <v>653</v>
      </c>
      <c r="H205" s="9">
        <v>432</v>
      </c>
      <c r="I205" s="9">
        <v>11170</v>
      </c>
      <c r="J205" s="9">
        <v>10569</v>
      </c>
      <c r="K205" s="9">
        <v>198</v>
      </c>
      <c r="L205" s="2" t="s">
        <v>62</v>
      </c>
      <c r="M205" s="2" t="s">
        <v>31</v>
      </c>
    </row>
    <row r="206" spans="1:13" ht="15.75" customHeight="1" x14ac:dyDescent="0.3">
      <c r="A206" s="2" t="s">
        <v>420</v>
      </c>
      <c r="B206" s="2" t="s">
        <v>14</v>
      </c>
      <c r="C206" s="2" t="s">
        <v>305</v>
      </c>
      <c r="D206" s="2" t="s">
        <v>74</v>
      </c>
      <c r="E206" s="2" t="s">
        <v>145</v>
      </c>
      <c r="F206" s="9">
        <v>3820</v>
      </c>
      <c r="G206" s="9">
        <v>697</v>
      </c>
      <c r="H206" s="9">
        <v>268</v>
      </c>
      <c r="I206" s="9">
        <v>45840</v>
      </c>
      <c r="J206" s="9">
        <v>45631</v>
      </c>
      <c r="K206" s="9">
        <v>171</v>
      </c>
      <c r="L206" s="2" t="s">
        <v>421</v>
      </c>
      <c r="M206" s="2" t="s">
        <v>38</v>
      </c>
    </row>
    <row r="207" spans="1:13" ht="15.75" customHeight="1" x14ac:dyDescent="0.3">
      <c r="A207" s="2" t="s">
        <v>422</v>
      </c>
      <c r="B207" s="2" t="s">
        <v>14</v>
      </c>
      <c r="C207" s="2" t="s">
        <v>48</v>
      </c>
      <c r="D207" s="2" t="s">
        <v>22</v>
      </c>
      <c r="E207" s="2" t="s">
        <v>23</v>
      </c>
      <c r="F207" s="9">
        <v>941</v>
      </c>
      <c r="G207" s="9">
        <v>121</v>
      </c>
      <c r="H207" s="9">
        <v>458</v>
      </c>
      <c r="I207" s="9">
        <v>14115</v>
      </c>
      <c r="J207" s="9">
        <v>13838</v>
      </c>
      <c r="K207" s="9">
        <v>87</v>
      </c>
      <c r="L207" s="2" t="s">
        <v>37</v>
      </c>
      <c r="M207" s="2" t="s">
        <v>19</v>
      </c>
    </row>
    <row r="208" spans="1:13" ht="15.75" customHeight="1" x14ac:dyDescent="0.3">
      <c r="A208" s="2" t="s">
        <v>423</v>
      </c>
      <c r="B208" s="2" t="s">
        <v>14</v>
      </c>
      <c r="C208" s="2" t="s">
        <v>424</v>
      </c>
      <c r="D208" s="2" t="s">
        <v>45</v>
      </c>
      <c r="E208" s="2" t="s">
        <v>49</v>
      </c>
      <c r="F208" s="9">
        <v>4274</v>
      </c>
      <c r="G208" s="9">
        <v>340</v>
      </c>
      <c r="H208" s="9">
        <v>281</v>
      </c>
      <c r="I208" s="9">
        <v>34192</v>
      </c>
      <c r="J208" s="9">
        <v>33446</v>
      </c>
      <c r="K208" s="9">
        <v>129</v>
      </c>
      <c r="L208" s="2" t="s">
        <v>421</v>
      </c>
      <c r="M208" s="2" t="s">
        <v>31</v>
      </c>
    </row>
    <row r="209" spans="1:13" ht="15.75" customHeight="1" x14ac:dyDescent="0.3">
      <c r="A209" s="2" t="s">
        <v>425</v>
      </c>
      <c r="B209" s="2" t="s">
        <v>27</v>
      </c>
      <c r="C209" s="2" t="s">
        <v>48</v>
      </c>
      <c r="D209" s="2" t="s">
        <v>74</v>
      </c>
      <c r="E209" s="2" t="s">
        <v>219</v>
      </c>
      <c r="F209" s="9">
        <v>2949</v>
      </c>
      <c r="G209" s="9">
        <v>476</v>
      </c>
      <c r="H209" s="9">
        <v>403</v>
      </c>
      <c r="I209" s="9">
        <v>44235</v>
      </c>
      <c r="J209" s="9">
        <v>43705</v>
      </c>
      <c r="K209" s="9">
        <v>135</v>
      </c>
      <c r="L209" s="2" t="s">
        <v>30</v>
      </c>
      <c r="M209" s="2" t="s">
        <v>25</v>
      </c>
    </row>
    <row r="210" spans="1:13" ht="15.75" customHeight="1" x14ac:dyDescent="0.3">
      <c r="A210" s="2" t="s">
        <v>426</v>
      </c>
      <c r="B210" s="2" t="s">
        <v>14</v>
      </c>
      <c r="C210" s="2" t="s">
        <v>427</v>
      </c>
      <c r="D210" s="2" t="s">
        <v>74</v>
      </c>
      <c r="E210" s="2" t="s">
        <v>145</v>
      </c>
      <c r="F210" s="9">
        <v>3160</v>
      </c>
      <c r="G210" s="9">
        <v>204</v>
      </c>
      <c r="H210" s="9">
        <v>297</v>
      </c>
      <c r="I210" s="9">
        <v>44240</v>
      </c>
      <c r="J210" s="9">
        <v>43666</v>
      </c>
      <c r="K210" s="9">
        <v>49</v>
      </c>
      <c r="L210" s="2" t="s">
        <v>18</v>
      </c>
      <c r="M210" s="2" t="s">
        <v>38</v>
      </c>
    </row>
    <row r="211" spans="1:13" ht="15.75" customHeight="1" x14ac:dyDescent="0.3">
      <c r="A211" s="2" t="s">
        <v>428</v>
      </c>
      <c r="B211" s="2" t="s">
        <v>27</v>
      </c>
      <c r="C211" s="2" t="s">
        <v>350</v>
      </c>
      <c r="D211" s="2" t="s">
        <v>52</v>
      </c>
      <c r="E211" s="2" t="s">
        <v>53</v>
      </c>
      <c r="F211" s="9">
        <v>257</v>
      </c>
      <c r="G211" s="9">
        <v>966</v>
      </c>
      <c r="H211" s="9">
        <v>398</v>
      </c>
      <c r="I211" s="9">
        <v>3341</v>
      </c>
      <c r="J211" s="9">
        <v>2753</v>
      </c>
      <c r="K211" s="9">
        <v>287</v>
      </c>
      <c r="L211" s="2" t="s">
        <v>62</v>
      </c>
      <c r="M211" s="2" t="s">
        <v>19</v>
      </c>
    </row>
    <row r="212" spans="1:13" ht="15.75" customHeight="1" x14ac:dyDescent="0.3">
      <c r="A212" s="2" t="s">
        <v>429</v>
      </c>
      <c r="B212" s="2" t="s">
        <v>14</v>
      </c>
      <c r="C212" s="2" t="s">
        <v>430</v>
      </c>
      <c r="D212" s="2" t="s">
        <v>45</v>
      </c>
      <c r="E212" s="2" t="s">
        <v>49</v>
      </c>
      <c r="F212" s="9">
        <v>2120</v>
      </c>
      <c r="G212" s="9">
        <v>38</v>
      </c>
      <c r="H212" s="9">
        <v>212</v>
      </c>
      <c r="I212" s="9">
        <v>12720</v>
      </c>
      <c r="J212" s="9">
        <v>12564</v>
      </c>
      <c r="K212" s="9">
        <v>21</v>
      </c>
      <c r="L212" s="2" t="s">
        <v>62</v>
      </c>
      <c r="M212" s="2" t="s">
        <v>38</v>
      </c>
    </row>
    <row r="213" spans="1:13" ht="15.75" customHeight="1" x14ac:dyDescent="0.3">
      <c r="A213" s="2" t="s">
        <v>431</v>
      </c>
      <c r="B213" s="2" t="s">
        <v>27</v>
      </c>
      <c r="C213" s="2" t="s">
        <v>197</v>
      </c>
      <c r="D213" s="2" t="s">
        <v>74</v>
      </c>
      <c r="E213" s="2" t="s">
        <v>219</v>
      </c>
      <c r="F213" s="9">
        <v>3874</v>
      </c>
      <c r="G213" s="9">
        <v>884</v>
      </c>
      <c r="H213" s="9">
        <v>19</v>
      </c>
      <c r="I213" s="9">
        <v>38740</v>
      </c>
      <c r="J213" s="9">
        <v>38552</v>
      </c>
      <c r="K213" s="9">
        <v>219</v>
      </c>
      <c r="L213" s="2" t="s">
        <v>30</v>
      </c>
      <c r="M213" s="2" t="s">
        <v>25</v>
      </c>
    </row>
    <row r="214" spans="1:13" ht="15.75" customHeight="1" x14ac:dyDescent="0.3">
      <c r="A214" s="2" t="s">
        <v>432</v>
      </c>
      <c r="B214" s="2" t="s">
        <v>43</v>
      </c>
      <c r="C214" s="2" t="s">
        <v>433</v>
      </c>
      <c r="D214" s="2" t="s">
        <v>45</v>
      </c>
      <c r="E214" s="2" t="s">
        <v>46</v>
      </c>
      <c r="F214" s="9">
        <v>2696</v>
      </c>
      <c r="G214" s="9">
        <v>628</v>
      </c>
      <c r="H214" s="9">
        <v>443</v>
      </c>
      <c r="I214" s="9">
        <v>45832</v>
      </c>
      <c r="J214" s="9">
        <v>45632</v>
      </c>
      <c r="K214" s="9">
        <v>248</v>
      </c>
      <c r="L214" s="2" t="s">
        <v>37</v>
      </c>
      <c r="M214" s="2" t="s">
        <v>38</v>
      </c>
    </row>
    <row r="215" spans="1:13" ht="15.75" customHeight="1" x14ac:dyDescent="0.3">
      <c r="A215" s="2" t="s">
        <v>434</v>
      </c>
      <c r="B215" s="2" t="s">
        <v>33</v>
      </c>
      <c r="C215" s="2" t="s">
        <v>15</v>
      </c>
      <c r="D215" s="2" t="s">
        <v>52</v>
      </c>
      <c r="E215" s="2" t="s">
        <v>215</v>
      </c>
      <c r="F215" s="9">
        <v>521</v>
      </c>
      <c r="G215" s="9">
        <v>746</v>
      </c>
      <c r="H215" s="9">
        <v>315</v>
      </c>
      <c r="I215" s="9">
        <v>4168</v>
      </c>
      <c r="J215" s="9">
        <v>3399</v>
      </c>
      <c r="K215" s="9">
        <v>282</v>
      </c>
      <c r="L215" s="2" t="s">
        <v>62</v>
      </c>
      <c r="M215" s="2" t="s">
        <v>25</v>
      </c>
    </row>
    <row r="216" spans="1:13" ht="15.75" customHeight="1" x14ac:dyDescent="0.3">
      <c r="A216" s="2" t="s">
        <v>435</v>
      </c>
      <c r="B216" s="2" t="s">
        <v>43</v>
      </c>
      <c r="C216" s="2" t="s">
        <v>436</v>
      </c>
      <c r="D216" s="2" t="s">
        <v>52</v>
      </c>
      <c r="E216" s="2" t="s">
        <v>59</v>
      </c>
      <c r="F216" s="9">
        <v>4872</v>
      </c>
      <c r="G216" s="9">
        <v>925</v>
      </c>
      <c r="H216" s="9">
        <v>176</v>
      </c>
      <c r="I216" s="9">
        <v>82824</v>
      </c>
      <c r="J216" s="9">
        <v>82543</v>
      </c>
      <c r="K216" s="9">
        <v>89</v>
      </c>
      <c r="L216" s="2" t="s">
        <v>37</v>
      </c>
      <c r="M216" s="2" t="s">
        <v>25</v>
      </c>
    </row>
    <row r="217" spans="1:13" ht="15.75" customHeight="1" x14ac:dyDescent="0.3">
      <c r="A217" s="2" t="s">
        <v>437</v>
      </c>
      <c r="B217" s="2" t="s">
        <v>27</v>
      </c>
      <c r="C217" s="2" t="s">
        <v>268</v>
      </c>
      <c r="D217" s="2" t="s">
        <v>35</v>
      </c>
      <c r="E217" s="2" t="s">
        <v>154</v>
      </c>
      <c r="F217" s="9">
        <v>1509</v>
      </c>
      <c r="G217" s="9">
        <v>88</v>
      </c>
      <c r="H217" s="9">
        <v>163</v>
      </c>
      <c r="I217" s="9">
        <v>30180</v>
      </c>
      <c r="J217" s="9">
        <v>29689</v>
      </c>
      <c r="K217" s="9">
        <v>119</v>
      </c>
      <c r="L217" s="2" t="s">
        <v>37</v>
      </c>
      <c r="M217" s="2" t="s">
        <v>25</v>
      </c>
    </row>
    <row r="218" spans="1:13" ht="15.75" customHeight="1" x14ac:dyDescent="0.3">
      <c r="A218" s="2" t="s">
        <v>438</v>
      </c>
      <c r="B218" s="2" t="s">
        <v>43</v>
      </c>
      <c r="C218" s="2" t="s">
        <v>362</v>
      </c>
      <c r="D218" s="2" t="s">
        <v>52</v>
      </c>
      <c r="E218" s="2" t="s">
        <v>59</v>
      </c>
      <c r="F218" s="9">
        <v>4606</v>
      </c>
      <c r="G218" s="9">
        <v>931</v>
      </c>
      <c r="H218" s="9">
        <v>230</v>
      </c>
      <c r="I218" s="9">
        <v>92120</v>
      </c>
      <c r="J218" s="9">
        <v>91440</v>
      </c>
      <c r="K218" s="9">
        <v>56</v>
      </c>
      <c r="L218" s="2" t="s">
        <v>30</v>
      </c>
    </row>
    <row r="219" spans="1:13" ht="15.75" customHeight="1" x14ac:dyDescent="0.3">
      <c r="A219" s="2" t="s">
        <v>439</v>
      </c>
      <c r="B219" s="2" t="s">
        <v>43</v>
      </c>
      <c r="C219" s="2" t="s">
        <v>254</v>
      </c>
      <c r="D219" s="2" t="s">
        <v>45</v>
      </c>
      <c r="E219" s="2" t="s">
        <v>46</v>
      </c>
      <c r="F219" s="9">
        <v>1869</v>
      </c>
      <c r="G219" s="9">
        <v>453</v>
      </c>
      <c r="H219" s="9">
        <v>490</v>
      </c>
      <c r="I219" s="9">
        <v>14952</v>
      </c>
      <c r="J219" s="9">
        <v>14309</v>
      </c>
      <c r="K219" s="9">
        <v>275</v>
      </c>
      <c r="L219" s="2" t="s">
        <v>30</v>
      </c>
      <c r="M219" s="2" t="s">
        <v>38</v>
      </c>
    </row>
    <row r="220" spans="1:13" ht="15.75" customHeight="1" x14ac:dyDescent="0.3">
      <c r="A220" s="2" t="s">
        <v>440</v>
      </c>
      <c r="B220" s="2" t="s">
        <v>14</v>
      </c>
      <c r="C220" s="2" t="s">
        <v>174</v>
      </c>
      <c r="D220" s="2" t="s">
        <v>16</v>
      </c>
      <c r="E220" s="2" t="s">
        <v>17</v>
      </c>
      <c r="F220" s="9">
        <v>1188</v>
      </c>
      <c r="G220" s="9">
        <v>470</v>
      </c>
      <c r="H220" s="9">
        <v>174</v>
      </c>
      <c r="I220" s="9">
        <v>7128</v>
      </c>
      <c r="J220" s="9">
        <v>6145</v>
      </c>
      <c r="K220" s="9">
        <v>270</v>
      </c>
      <c r="L220" s="2" t="s">
        <v>30</v>
      </c>
      <c r="M220" s="2" t="s">
        <v>38</v>
      </c>
    </row>
    <row r="221" spans="1:13" ht="15.75" customHeight="1" x14ac:dyDescent="0.3">
      <c r="A221" s="2" t="s">
        <v>441</v>
      </c>
      <c r="B221" s="2" t="s">
        <v>33</v>
      </c>
      <c r="C221" s="2" t="s">
        <v>416</v>
      </c>
      <c r="D221" s="2" t="s">
        <v>35</v>
      </c>
      <c r="E221" s="2" t="s">
        <v>36</v>
      </c>
      <c r="F221" s="9">
        <v>84</v>
      </c>
      <c r="G221" s="9">
        <v>897</v>
      </c>
      <c r="H221" s="9">
        <v>85</v>
      </c>
      <c r="I221" s="9">
        <v>588</v>
      </c>
      <c r="J221" s="9">
        <v>8</v>
      </c>
      <c r="K221" s="9">
        <v>12</v>
      </c>
      <c r="L221" s="2" t="s">
        <v>37</v>
      </c>
    </row>
    <row r="222" spans="1:13" ht="15.75" customHeight="1" x14ac:dyDescent="0.3">
      <c r="A222" s="2" t="s">
        <v>442</v>
      </c>
      <c r="B222" s="2" t="s">
        <v>43</v>
      </c>
      <c r="C222" s="2" t="s">
        <v>256</v>
      </c>
      <c r="D222" s="2" t="s">
        <v>74</v>
      </c>
      <c r="E222" s="2" t="s">
        <v>75</v>
      </c>
      <c r="F222" s="9">
        <v>4453</v>
      </c>
      <c r="G222" s="9">
        <v>111</v>
      </c>
      <c r="H222" s="9">
        <v>420</v>
      </c>
      <c r="I222" s="9">
        <v>31171</v>
      </c>
      <c r="J222" s="9">
        <v>30565</v>
      </c>
      <c r="K222" s="9">
        <v>23</v>
      </c>
      <c r="L222" s="2" t="s">
        <v>30</v>
      </c>
    </row>
    <row r="223" spans="1:13" ht="15.75" customHeight="1" x14ac:dyDescent="0.3">
      <c r="A223" s="2" t="s">
        <v>443</v>
      </c>
      <c r="B223" s="2" t="s">
        <v>43</v>
      </c>
      <c r="C223" s="2" t="s">
        <v>444</v>
      </c>
      <c r="D223" s="2" t="s">
        <v>16</v>
      </c>
      <c r="E223" s="2" t="s">
        <v>65</v>
      </c>
      <c r="F223" s="9">
        <v>1814</v>
      </c>
      <c r="G223" s="9">
        <v>653</v>
      </c>
      <c r="H223" s="9">
        <v>363</v>
      </c>
      <c r="I223" s="9">
        <v>25396</v>
      </c>
      <c r="J223" s="9">
        <v>25286</v>
      </c>
      <c r="K223" s="9">
        <v>39</v>
      </c>
      <c r="L223" s="2" t="s">
        <v>445</v>
      </c>
      <c r="M223" s="2" t="s">
        <v>19</v>
      </c>
    </row>
    <row r="224" spans="1:13" ht="15.75" customHeight="1" x14ac:dyDescent="0.3">
      <c r="A224" s="2" t="s">
        <v>446</v>
      </c>
      <c r="B224" s="2" t="s">
        <v>14</v>
      </c>
      <c r="C224" s="2" t="s">
        <v>360</v>
      </c>
      <c r="D224" s="2" t="s">
        <v>52</v>
      </c>
      <c r="E224" s="2" t="s">
        <v>132</v>
      </c>
      <c r="F224" s="9">
        <v>3338</v>
      </c>
      <c r="G224" s="9">
        <v>277</v>
      </c>
      <c r="H224" s="9">
        <v>118</v>
      </c>
      <c r="I224" s="9">
        <v>60084</v>
      </c>
      <c r="J224" s="9">
        <v>59842</v>
      </c>
      <c r="K224" s="9">
        <v>252</v>
      </c>
      <c r="L224" s="2" t="s">
        <v>30</v>
      </c>
    </row>
    <row r="225" spans="1:13" ht="15.75" customHeight="1" x14ac:dyDescent="0.3">
      <c r="A225" s="2" t="s">
        <v>447</v>
      </c>
      <c r="B225" s="2" t="s">
        <v>43</v>
      </c>
      <c r="C225" s="2" t="s">
        <v>448</v>
      </c>
      <c r="D225" s="2" t="s">
        <v>52</v>
      </c>
      <c r="E225" s="2" t="s">
        <v>59</v>
      </c>
      <c r="F225" s="9">
        <v>602</v>
      </c>
      <c r="G225" s="9">
        <v>594</v>
      </c>
      <c r="H225" s="9">
        <v>156</v>
      </c>
      <c r="I225" s="9">
        <v>4214</v>
      </c>
      <c r="J225" s="9">
        <v>3363</v>
      </c>
      <c r="K225" s="9">
        <v>164</v>
      </c>
      <c r="L225" s="2" t="s">
        <v>30</v>
      </c>
      <c r="M225" s="2" t="s">
        <v>31</v>
      </c>
    </row>
    <row r="226" spans="1:13" ht="15.75" customHeight="1" x14ac:dyDescent="0.3">
      <c r="A226" s="2" t="s">
        <v>449</v>
      </c>
      <c r="B226" s="2" t="s">
        <v>14</v>
      </c>
      <c r="C226" s="2" t="s">
        <v>375</v>
      </c>
      <c r="D226" s="2" t="s">
        <v>45</v>
      </c>
      <c r="E226" s="2" t="s">
        <v>49</v>
      </c>
      <c r="F226" s="9">
        <v>4672</v>
      </c>
      <c r="G226" s="9">
        <v>325</v>
      </c>
      <c r="H226" s="9">
        <v>32</v>
      </c>
      <c r="I226" s="9">
        <v>88768</v>
      </c>
      <c r="J226" s="9">
        <v>87833</v>
      </c>
      <c r="K226" s="9">
        <v>118</v>
      </c>
      <c r="L226" s="2" t="s">
        <v>37</v>
      </c>
    </row>
    <row r="227" spans="1:13" ht="15.75" customHeight="1" x14ac:dyDescent="0.3">
      <c r="A227" s="2" t="s">
        <v>450</v>
      </c>
      <c r="B227" s="2" t="s">
        <v>33</v>
      </c>
      <c r="C227" s="2" t="s">
        <v>451</v>
      </c>
      <c r="D227" s="2" t="s">
        <v>45</v>
      </c>
      <c r="E227" s="2" t="s">
        <v>88</v>
      </c>
      <c r="F227" s="9">
        <v>1741</v>
      </c>
      <c r="G227" s="9">
        <v>164</v>
      </c>
      <c r="H227" s="9">
        <v>318</v>
      </c>
      <c r="I227" s="9">
        <v>8705</v>
      </c>
      <c r="J227" s="9">
        <v>8272</v>
      </c>
      <c r="K227" s="9">
        <v>121</v>
      </c>
      <c r="L227" s="2" t="s">
        <v>30</v>
      </c>
    </row>
    <row r="228" spans="1:13" ht="15.75" customHeight="1" x14ac:dyDescent="0.3">
      <c r="A228" s="2" t="s">
        <v>452</v>
      </c>
      <c r="B228" s="2" t="s">
        <v>33</v>
      </c>
      <c r="C228" s="2" t="s">
        <v>453</v>
      </c>
      <c r="D228" s="2" t="s">
        <v>22</v>
      </c>
      <c r="E228" s="2" t="s">
        <v>113</v>
      </c>
      <c r="F228" s="9">
        <v>246</v>
      </c>
      <c r="G228" s="9">
        <v>149</v>
      </c>
      <c r="H228" s="9">
        <v>130</v>
      </c>
      <c r="I228" s="9">
        <v>4674</v>
      </c>
      <c r="J228" s="9">
        <v>4390</v>
      </c>
      <c r="K228" s="9">
        <v>217</v>
      </c>
      <c r="L228" s="2" t="s">
        <v>62</v>
      </c>
      <c r="M228" s="2" t="s">
        <v>31</v>
      </c>
    </row>
    <row r="229" spans="1:13" ht="15.75" customHeight="1" x14ac:dyDescent="0.3">
      <c r="A229" s="2" t="s">
        <v>454</v>
      </c>
      <c r="B229" s="2" t="s">
        <v>33</v>
      </c>
      <c r="C229" s="2" t="s">
        <v>455</v>
      </c>
      <c r="D229" s="2" t="s">
        <v>35</v>
      </c>
      <c r="E229" s="2" t="s">
        <v>36</v>
      </c>
      <c r="F229" s="9">
        <v>4808</v>
      </c>
      <c r="G229" s="9">
        <v>772</v>
      </c>
      <c r="H229" s="9">
        <v>320</v>
      </c>
      <c r="I229" s="9">
        <v>72120</v>
      </c>
      <c r="J229" s="9">
        <v>71696</v>
      </c>
      <c r="K229" s="9">
        <v>195</v>
      </c>
      <c r="L229" s="2" t="s">
        <v>37</v>
      </c>
      <c r="M229" s="2" t="s">
        <v>19</v>
      </c>
    </row>
    <row r="230" spans="1:13" ht="15.75" customHeight="1" x14ac:dyDescent="0.3">
      <c r="A230" s="2" t="s">
        <v>456</v>
      </c>
      <c r="B230" s="2" t="s">
        <v>33</v>
      </c>
      <c r="C230" s="2" t="s">
        <v>153</v>
      </c>
      <c r="D230" s="2" t="s">
        <v>45</v>
      </c>
      <c r="E230" s="2" t="s">
        <v>88</v>
      </c>
      <c r="F230" s="9">
        <v>4799</v>
      </c>
      <c r="G230" s="9">
        <v>694</v>
      </c>
      <c r="H230" s="9">
        <v>289</v>
      </c>
      <c r="I230" s="9">
        <v>43191</v>
      </c>
      <c r="J230" s="9">
        <v>42228</v>
      </c>
      <c r="K230" s="9">
        <v>118</v>
      </c>
      <c r="L230" s="2" t="s">
        <v>30</v>
      </c>
    </row>
    <row r="231" spans="1:13" ht="15.75" customHeight="1" x14ac:dyDescent="0.3">
      <c r="A231" s="2" t="s">
        <v>457</v>
      </c>
      <c r="B231" s="2" t="s">
        <v>43</v>
      </c>
      <c r="C231" s="2" t="s">
        <v>315</v>
      </c>
      <c r="D231" s="2" t="s">
        <v>16</v>
      </c>
      <c r="E231" s="2" t="s">
        <v>65</v>
      </c>
      <c r="F231" s="9">
        <v>3663</v>
      </c>
      <c r="G231" s="9">
        <v>17</v>
      </c>
      <c r="H231" s="9">
        <v>295</v>
      </c>
      <c r="I231" s="9">
        <v>51282</v>
      </c>
      <c r="J231" s="9">
        <v>50567</v>
      </c>
      <c r="K231" s="9">
        <v>84</v>
      </c>
      <c r="L231" s="2" t="s">
        <v>37</v>
      </c>
      <c r="M231" s="2" t="s">
        <v>31</v>
      </c>
    </row>
    <row r="232" spans="1:13" ht="15.75" customHeight="1" x14ac:dyDescent="0.3">
      <c r="A232" s="2" t="s">
        <v>458</v>
      </c>
      <c r="B232" s="2" t="s">
        <v>33</v>
      </c>
      <c r="C232" s="2" t="s">
        <v>433</v>
      </c>
      <c r="D232" s="2" t="s">
        <v>22</v>
      </c>
      <c r="E232" s="2" t="s">
        <v>113</v>
      </c>
      <c r="F232" s="9">
        <v>1430</v>
      </c>
      <c r="G232" s="9">
        <v>376</v>
      </c>
      <c r="H232" s="9">
        <v>33</v>
      </c>
      <c r="I232" s="9">
        <v>21450</v>
      </c>
      <c r="J232" s="9">
        <v>20509</v>
      </c>
      <c r="K232" s="9">
        <v>251</v>
      </c>
      <c r="L232" s="2" t="s">
        <v>62</v>
      </c>
      <c r="M232" s="2" t="s">
        <v>19</v>
      </c>
    </row>
    <row r="233" spans="1:13" ht="15.75" customHeight="1" x14ac:dyDescent="0.3">
      <c r="A233" s="2" t="s">
        <v>459</v>
      </c>
      <c r="B233" s="2" t="s">
        <v>14</v>
      </c>
      <c r="C233" s="2" t="s">
        <v>460</v>
      </c>
      <c r="D233" s="2" t="s">
        <v>35</v>
      </c>
      <c r="E233" s="2" t="s">
        <v>149</v>
      </c>
      <c r="F233" s="9">
        <v>249</v>
      </c>
      <c r="G233" s="9">
        <v>592</v>
      </c>
      <c r="H233" s="9">
        <v>230</v>
      </c>
      <c r="I233" s="9">
        <v>1494</v>
      </c>
      <c r="J233" s="9">
        <v>1044</v>
      </c>
      <c r="K233" s="9">
        <v>201</v>
      </c>
      <c r="L233" s="2" t="s">
        <v>37</v>
      </c>
      <c r="M233" s="2" t="s">
        <v>38</v>
      </c>
    </row>
    <row r="234" spans="1:13" ht="15.75" customHeight="1" x14ac:dyDescent="0.3">
      <c r="A234" s="2" t="s">
        <v>461</v>
      </c>
      <c r="B234" s="2" t="s">
        <v>43</v>
      </c>
      <c r="C234" s="2" t="s">
        <v>134</v>
      </c>
      <c r="D234" s="2" t="s">
        <v>52</v>
      </c>
      <c r="E234" s="2" t="s">
        <v>59</v>
      </c>
      <c r="F234" s="9">
        <v>2382</v>
      </c>
      <c r="G234" s="9">
        <v>265</v>
      </c>
      <c r="H234" s="9">
        <v>134</v>
      </c>
      <c r="I234" s="9">
        <v>38112</v>
      </c>
      <c r="J234" s="9">
        <v>37437</v>
      </c>
      <c r="K234" s="9">
        <v>249</v>
      </c>
      <c r="L234" s="2" t="s">
        <v>62</v>
      </c>
      <c r="M234" s="2" t="s">
        <v>38</v>
      </c>
    </row>
    <row r="235" spans="1:13" ht="15.75" customHeight="1" x14ac:dyDescent="0.3">
      <c r="A235" s="2" t="s">
        <v>462</v>
      </c>
      <c r="B235" s="2" t="s">
        <v>43</v>
      </c>
      <c r="C235" s="2" t="s">
        <v>463</v>
      </c>
      <c r="D235" s="2" t="s">
        <v>22</v>
      </c>
      <c r="E235" s="2" t="s">
        <v>56</v>
      </c>
      <c r="F235" s="9">
        <v>1272</v>
      </c>
      <c r="G235" s="9">
        <v>465</v>
      </c>
      <c r="H235" s="9">
        <v>99</v>
      </c>
      <c r="I235" s="9">
        <v>24168</v>
      </c>
      <c r="J235" s="9">
        <v>23719</v>
      </c>
      <c r="K235" s="9">
        <v>42</v>
      </c>
      <c r="L235" s="2" t="s">
        <v>30</v>
      </c>
    </row>
    <row r="236" spans="1:13" ht="15.75" customHeight="1" x14ac:dyDescent="0.3">
      <c r="A236" s="2" t="s">
        <v>464</v>
      </c>
      <c r="B236" s="2" t="s">
        <v>43</v>
      </c>
      <c r="C236" s="2" t="s">
        <v>392</v>
      </c>
      <c r="D236" s="2" t="s">
        <v>52</v>
      </c>
      <c r="E236" s="2" t="s">
        <v>59</v>
      </c>
      <c r="F236" s="9">
        <v>3196</v>
      </c>
      <c r="G236" s="9">
        <v>941</v>
      </c>
      <c r="H236" s="9">
        <v>376</v>
      </c>
      <c r="I236" s="9">
        <v>35156</v>
      </c>
      <c r="J236" s="9">
        <v>34444</v>
      </c>
      <c r="K236" s="9">
        <v>241</v>
      </c>
      <c r="L236" s="2" t="s">
        <v>30</v>
      </c>
      <c r="M236" s="2" t="s">
        <v>31</v>
      </c>
    </row>
    <row r="237" spans="1:13" ht="15.75" customHeight="1" x14ac:dyDescent="0.3">
      <c r="A237" s="2" t="s">
        <v>465</v>
      </c>
      <c r="B237" s="2" t="s">
        <v>43</v>
      </c>
      <c r="C237" s="2" t="s">
        <v>81</v>
      </c>
      <c r="D237" s="2" t="s">
        <v>22</v>
      </c>
      <c r="E237" s="2" t="s">
        <v>56</v>
      </c>
      <c r="F237" s="9">
        <v>1257</v>
      </c>
      <c r="G237" s="9">
        <v>19</v>
      </c>
      <c r="H237" s="9">
        <v>351</v>
      </c>
      <c r="I237" s="9">
        <v>12570</v>
      </c>
      <c r="J237" s="9">
        <v>11660</v>
      </c>
      <c r="K237" s="9">
        <v>194</v>
      </c>
      <c r="L237" s="2" t="s">
        <v>466</v>
      </c>
      <c r="M237" s="2" t="s">
        <v>25</v>
      </c>
    </row>
    <row r="238" spans="1:13" ht="15.75" customHeight="1" x14ac:dyDescent="0.3">
      <c r="A238" s="2" t="s">
        <v>467</v>
      </c>
      <c r="B238" s="2" t="s">
        <v>33</v>
      </c>
      <c r="C238" s="2" t="s">
        <v>341</v>
      </c>
      <c r="D238" s="2" t="s">
        <v>35</v>
      </c>
      <c r="E238" s="2" t="s">
        <v>36</v>
      </c>
      <c r="F238" s="9">
        <v>3770</v>
      </c>
      <c r="G238" s="9">
        <v>917</v>
      </c>
      <c r="H238" s="9">
        <v>129</v>
      </c>
      <c r="I238" s="9">
        <v>71630</v>
      </c>
      <c r="J238" s="9">
        <v>71322</v>
      </c>
      <c r="K238" s="9">
        <v>76</v>
      </c>
      <c r="L238" s="2" t="s">
        <v>62</v>
      </c>
      <c r="M238" s="2" t="s">
        <v>19</v>
      </c>
    </row>
    <row r="239" spans="1:13" ht="15.75" customHeight="1" x14ac:dyDescent="0.3">
      <c r="A239" s="2" t="s">
        <v>468</v>
      </c>
      <c r="B239" s="2" t="s">
        <v>14</v>
      </c>
      <c r="C239" s="2" t="s">
        <v>469</v>
      </c>
      <c r="D239" s="2" t="s">
        <v>22</v>
      </c>
      <c r="E239" s="2" t="s">
        <v>23</v>
      </c>
      <c r="F239" s="9">
        <v>4725</v>
      </c>
      <c r="G239" s="9">
        <v>400</v>
      </c>
      <c r="H239" s="9">
        <v>362</v>
      </c>
      <c r="I239" s="9">
        <v>75600</v>
      </c>
      <c r="J239" s="9">
        <v>74927</v>
      </c>
      <c r="K239" s="9">
        <v>43</v>
      </c>
      <c r="L239" s="2" t="s">
        <v>62</v>
      </c>
      <c r="M239" s="2" t="s">
        <v>38</v>
      </c>
    </row>
    <row r="240" spans="1:13" ht="15.75" customHeight="1" x14ac:dyDescent="0.3">
      <c r="A240" s="2" t="s">
        <v>470</v>
      </c>
      <c r="B240" s="2" t="s">
        <v>27</v>
      </c>
      <c r="C240" s="2" t="s">
        <v>147</v>
      </c>
      <c r="D240" s="2" t="s">
        <v>22</v>
      </c>
      <c r="E240" s="2" t="s">
        <v>104</v>
      </c>
      <c r="F240" s="9">
        <v>4188</v>
      </c>
      <c r="G240" s="9">
        <v>942</v>
      </c>
      <c r="H240" s="9">
        <v>118</v>
      </c>
      <c r="I240" s="9">
        <v>20940</v>
      </c>
      <c r="J240" s="9">
        <v>20471</v>
      </c>
      <c r="K240" s="9">
        <v>102</v>
      </c>
      <c r="L240" s="2" t="s">
        <v>62</v>
      </c>
    </row>
    <row r="241" spans="1:13" ht="15.75" customHeight="1" x14ac:dyDescent="0.3">
      <c r="A241" s="2" t="s">
        <v>471</v>
      </c>
      <c r="B241" s="2" t="s">
        <v>14</v>
      </c>
      <c r="C241" s="2" t="s">
        <v>77</v>
      </c>
      <c r="D241" s="2" t="s">
        <v>45</v>
      </c>
      <c r="E241" s="2" t="s">
        <v>49</v>
      </c>
      <c r="F241" s="9">
        <v>929</v>
      </c>
      <c r="G241" s="9">
        <v>192</v>
      </c>
      <c r="H241" s="9">
        <v>322</v>
      </c>
      <c r="I241" s="9">
        <v>16722</v>
      </c>
      <c r="J241" s="9">
        <v>15996</v>
      </c>
      <c r="K241" s="9">
        <v>145</v>
      </c>
      <c r="L241" s="2" t="s">
        <v>175</v>
      </c>
      <c r="M241" s="2" t="s">
        <v>31</v>
      </c>
    </row>
    <row r="242" spans="1:13" ht="15.75" customHeight="1" x14ac:dyDescent="0.3">
      <c r="A242" s="2" t="s">
        <v>472</v>
      </c>
      <c r="B242" s="2" t="s">
        <v>43</v>
      </c>
      <c r="C242" s="2" t="s">
        <v>473</v>
      </c>
      <c r="D242" s="2" t="s">
        <v>35</v>
      </c>
      <c r="E242" s="2" t="s">
        <v>71</v>
      </c>
      <c r="F242" s="9">
        <v>4321</v>
      </c>
      <c r="G242" s="9">
        <v>874</v>
      </c>
      <c r="H242" s="9">
        <v>172</v>
      </c>
      <c r="I242" s="9">
        <v>30247</v>
      </c>
      <c r="J242" s="9">
        <v>29254</v>
      </c>
      <c r="K242" s="9">
        <v>122</v>
      </c>
      <c r="L242" s="2" t="s">
        <v>30</v>
      </c>
      <c r="M242" s="2" t="s">
        <v>38</v>
      </c>
    </row>
    <row r="243" spans="1:13" ht="15.75" customHeight="1" x14ac:dyDescent="0.3">
      <c r="A243" s="2" t="s">
        <v>474</v>
      </c>
      <c r="B243" s="2" t="s">
        <v>43</v>
      </c>
      <c r="C243" s="2" t="s">
        <v>228</v>
      </c>
      <c r="D243" s="2" t="s">
        <v>16</v>
      </c>
      <c r="E243" s="2" t="s">
        <v>65</v>
      </c>
      <c r="F243" s="9">
        <v>4767</v>
      </c>
      <c r="G243" s="9">
        <v>190</v>
      </c>
      <c r="H243" s="9">
        <v>340</v>
      </c>
      <c r="I243" s="9">
        <v>28602</v>
      </c>
      <c r="J243" s="9">
        <v>28044</v>
      </c>
      <c r="K243" s="9">
        <v>210</v>
      </c>
      <c r="L243" s="2" t="s">
        <v>37</v>
      </c>
      <c r="M243" s="2" t="s">
        <v>31</v>
      </c>
    </row>
    <row r="244" spans="1:13" ht="15.75" customHeight="1" x14ac:dyDescent="0.3">
      <c r="A244" s="2" t="s">
        <v>475</v>
      </c>
      <c r="B244" s="2" t="s">
        <v>14</v>
      </c>
      <c r="C244" s="2" t="s">
        <v>476</v>
      </c>
      <c r="D244" s="2" t="s">
        <v>52</v>
      </c>
      <c r="E244" s="2" t="s">
        <v>132</v>
      </c>
      <c r="F244" s="9">
        <v>3592</v>
      </c>
      <c r="G244" s="9">
        <v>911</v>
      </c>
      <c r="H244" s="9">
        <v>375</v>
      </c>
      <c r="I244" s="9">
        <v>50288</v>
      </c>
      <c r="J244" s="9">
        <v>49490</v>
      </c>
      <c r="K244" s="9">
        <v>32</v>
      </c>
      <c r="L244" s="2" t="s">
        <v>62</v>
      </c>
      <c r="M244" s="2" t="s">
        <v>38</v>
      </c>
    </row>
    <row r="245" spans="1:13" ht="15.75" customHeight="1" x14ac:dyDescent="0.3">
      <c r="A245" s="2" t="s">
        <v>477</v>
      </c>
      <c r="B245" s="2" t="s">
        <v>27</v>
      </c>
      <c r="C245" s="2" t="s">
        <v>478</v>
      </c>
      <c r="D245" s="2" t="s">
        <v>74</v>
      </c>
      <c r="E245" s="2" t="s">
        <v>219</v>
      </c>
      <c r="F245" s="9">
        <v>4661</v>
      </c>
      <c r="G245" s="9">
        <v>935</v>
      </c>
      <c r="H245" s="9">
        <v>433</v>
      </c>
      <c r="I245" s="9">
        <v>23305</v>
      </c>
      <c r="J245" s="9">
        <v>22583</v>
      </c>
      <c r="K245" s="9">
        <v>63</v>
      </c>
      <c r="L245" s="2" t="s">
        <v>62</v>
      </c>
      <c r="M245" s="2" t="s">
        <v>31</v>
      </c>
    </row>
    <row r="246" spans="1:13" ht="15.75" customHeight="1" x14ac:dyDescent="0.3">
      <c r="A246" s="2" t="s">
        <v>479</v>
      </c>
      <c r="B246" s="2" t="s">
        <v>43</v>
      </c>
      <c r="C246" s="2" t="s">
        <v>480</v>
      </c>
      <c r="D246" s="2" t="s">
        <v>16</v>
      </c>
      <c r="E246" s="2" t="s">
        <v>65</v>
      </c>
      <c r="F246" s="9">
        <v>4134</v>
      </c>
      <c r="G246" s="9">
        <v>824</v>
      </c>
      <c r="H246" s="9">
        <v>99</v>
      </c>
      <c r="I246" s="9">
        <v>41340</v>
      </c>
      <c r="J246" s="9">
        <v>41050</v>
      </c>
      <c r="K246" s="9">
        <v>177</v>
      </c>
      <c r="L246" s="2" t="s">
        <v>37</v>
      </c>
      <c r="M246" s="2" t="s">
        <v>19</v>
      </c>
    </row>
    <row r="247" spans="1:13" ht="15.75" customHeight="1" x14ac:dyDescent="0.3">
      <c r="A247" s="2" t="s">
        <v>481</v>
      </c>
      <c r="B247" s="2" t="s">
        <v>43</v>
      </c>
      <c r="C247" s="2" t="s">
        <v>482</v>
      </c>
      <c r="D247" s="2" t="s">
        <v>52</v>
      </c>
      <c r="E247" s="2" t="s">
        <v>59</v>
      </c>
      <c r="F247" s="9">
        <v>400</v>
      </c>
      <c r="G247" s="9">
        <v>680</v>
      </c>
      <c r="H247" s="9">
        <v>434</v>
      </c>
      <c r="I247" s="9">
        <v>6400</v>
      </c>
      <c r="J247" s="9">
        <v>5472</v>
      </c>
      <c r="K247" s="9">
        <v>160</v>
      </c>
      <c r="L247" s="2" t="s">
        <v>62</v>
      </c>
      <c r="M247" s="2" t="s">
        <v>25</v>
      </c>
    </row>
    <row r="248" spans="1:13" ht="15.75" customHeight="1" x14ac:dyDescent="0.3">
      <c r="A248" s="2" t="s">
        <v>483</v>
      </c>
      <c r="B248" s="2" t="s">
        <v>43</v>
      </c>
      <c r="C248" s="2" t="s">
        <v>484</v>
      </c>
      <c r="D248" s="2" t="s">
        <v>16</v>
      </c>
      <c r="E248" s="2" t="s">
        <v>65</v>
      </c>
      <c r="F248" s="9">
        <v>3960</v>
      </c>
      <c r="G248" s="9">
        <v>266</v>
      </c>
      <c r="H248" s="9">
        <v>8</v>
      </c>
      <c r="I248" s="9">
        <v>35640</v>
      </c>
      <c r="J248" s="9">
        <v>34850</v>
      </c>
      <c r="K248" s="9">
        <v>208</v>
      </c>
      <c r="L248" s="2" t="s">
        <v>485</v>
      </c>
    </row>
    <row r="249" spans="1:13" ht="15.75" customHeight="1" x14ac:dyDescent="0.3">
      <c r="A249" s="2" t="s">
        <v>486</v>
      </c>
      <c r="B249" s="2" t="s">
        <v>43</v>
      </c>
      <c r="C249" s="2" t="s">
        <v>61</v>
      </c>
      <c r="D249" s="2" t="s">
        <v>35</v>
      </c>
      <c r="E249" s="2" t="s">
        <v>71</v>
      </c>
      <c r="F249" s="9">
        <v>886</v>
      </c>
      <c r="G249" s="9">
        <v>126</v>
      </c>
      <c r="H249" s="9">
        <v>153</v>
      </c>
      <c r="I249" s="9">
        <v>4430</v>
      </c>
      <c r="J249" s="9">
        <v>4037</v>
      </c>
      <c r="K249" s="9">
        <v>212</v>
      </c>
      <c r="L249" s="2" t="s">
        <v>37</v>
      </c>
    </row>
    <row r="250" spans="1:13" ht="15.75" customHeight="1" x14ac:dyDescent="0.3">
      <c r="A250" s="2" t="s">
        <v>487</v>
      </c>
      <c r="B250" s="2" t="s">
        <v>14</v>
      </c>
      <c r="C250" s="2" t="s">
        <v>430</v>
      </c>
      <c r="D250" s="2" t="s">
        <v>52</v>
      </c>
      <c r="E250" s="2" t="s">
        <v>132</v>
      </c>
      <c r="F250" s="9">
        <v>827</v>
      </c>
      <c r="G250" s="9">
        <v>77</v>
      </c>
      <c r="H250" s="9">
        <v>402</v>
      </c>
      <c r="I250" s="9">
        <v>14886</v>
      </c>
      <c r="J250" s="9">
        <v>14129</v>
      </c>
      <c r="K250" s="9">
        <v>254</v>
      </c>
      <c r="L250" s="2" t="s">
        <v>37</v>
      </c>
      <c r="M250" s="2" t="s">
        <v>25</v>
      </c>
    </row>
    <row r="251" spans="1:13" ht="15.75" customHeight="1" x14ac:dyDescent="0.3">
      <c r="A251" s="2" t="s">
        <v>488</v>
      </c>
      <c r="B251" s="2" t="s">
        <v>43</v>
      </c>
      <c r="C251" s="2" t="s">
        <v>172</v>
      </c>
      <c r="D251" s="2" t="s">
        <v>16</v>
      </c>
      <c r="E251" s="2" t="s">
        <v>65</v>
      </c>
      <c r="F251" s="9">
        <v>3813</v>
      </c>
      <c r="G251" s="9">
        <v>935</v>
      </c>
      <c r="H251" s="9">
        <v>274</v>
      </c>
      <c r="I251" s="9">
        <v>68634</v>
      </c>
      <c r="J251" s="9">
        <v>68488</v>
      </c>
      <c r="K251" s="9">
        <v>251</v>
      </c>
      <c r="L251" s="2" t="s">
        <v>62</v>
      </c>
    </row>
    <row r="252" spans="1:13" ht="15.75" customHeight="1" x14ac:dyDescent="0.3">
      <c r="A252" s="2" t="s">
        <v>489</v>
      </c>
      <c r="B252" s="2" t="s">
        <v>33</v>
      </c>
      <c r="C252" s="2" t="s">
        <v>490</v>
      </c>
      <c r="D252" s="2" t="s">
        <v>45</v>
      </c>
      <c r="E252" s="2" t="s">
        <v>88</v>
      </c>
      <c r="F252" s="9">
        <v>1377</v>
      </c>
      <c r="G252" s="9">
        <v>796</v>
      </c>
      <c r="H252" s="9">
        <v>387</v>
      </c>
      <c r="I252" s="9">
        <v>22032</v>
      </c>
      <c r="J252" s="9">
        <v>21869</v>
      </c>
      <c r="K252" s="9">
        <v>189</v>
      </c>
      <c r="L252" s="2" t="s">
        <v>62</v>
      </c>
    </row>
    <row r="253" spans="1:13" ht="15.75" customHeight="1" x14ac:dyDescent="0.3">
      <c r="A253" s="2" t="s">
        <v>491</v>
      </c>
      <c r="B253" s="2" t="s">
        <v>43</v>
      </c>
      <c r="C253" s="2" t="s">
        <v>364</v>
      </c>
      <c r="D253" s="2" t="s">
        <v>45</v>
      </c>
      <c r="E253" s="2" t="s">
        <v>46</v>
      </c>
      <c r="F253" s="9">
        <v>2089</v>
      </c>
      <c r="G253" s="9">
        <v>476</v>
      </c>
      <c r="H253" s="9">
        <v>69</v>
      </c>
      <c r="I253" s="9">
        <v>16712</v>
      </c>
      <c r="J253" s="9">
        <v>16309</v>
      </c>
      <c r="K253" s="9">
        <v>64</v>
      </c>
      <c r="L253" s="2" t="s">
        <v>62</v>
      </c>
      <c r="M253" s="2" t="s">
        <v>31</v>
      </c>
    </row>
    <row r="254" spans="1:13" ht="15.75" customHeight="1" x14ac:dyDescent="0.3">
      <c r="A254" s="2" t="s">
        <v>492</v>
      </c>
      <c r="B254" s="2" t="s">
        <v>14</v>
      </c>
      <c r="C254" s="2" t="s">
        <v>493</v>
      </c>
      <c r="D254" s="2" t="s">
        <v>16</v>
      </c>
      <c r="E254" s="2" t="s">
        <v>17</v>
      </c>
      <c r="F254" s="9">
        <v>3791</v>
      </c>
      <c r="G254" s="9">
        <v>593</v>
      </c>
      <c r="H254" s="9">
        <v>228</v>
      </c>
      <c r="I254" s="9">
        <v>53074</v>
      </c>
      <c r="J254" s="9">
        <v>52613</v>
      </c>
      <c r="K254" s="9">
        <v>205</v>
      </c>
      <c r="L254" s="2" t="s">
        <v>37</v>
      </c>
    </row>
    <row r="255" spans="1:13" ht="15.75" customHeight="1" x14ac:dyDescent="0.3">
      <c r="A255" s="2" t="s">
        <v>494</v>
      </c>
      <c r="B255" s="2" t="s">
        <v>14</v>
      </c>
      <c r="C255" s="2" t="s">
        <v>495</v>
      </c>
      <c r="D255" s="2" t="s">
        <v>52</v>
      </c>
      <c r="E255" s="2" t="s">
        <v>132</v>
      </c>
      <c r="F255" s="9">
        <v>2692</v>
      </c>
      <c r="G255" s="9">
        <v>115</v>
      </c>
      <c r="H255" s="9">
        <v>64</v>
      </c>
      <c r="I255" s="9">
        <v>21536</v>
      </c>
      <c r="J255" s="9">
        <v>21120</v>
      </c>
      <c r="K255" s="9">
        <v>224</v>
      </c>
      <c r="L255" s="2" t="s">
        <v>62</v>
      </c>
      <c r="M255" s="2" t="s">
        <v>25</v>
      </c>
    </row>
    <row r="256" spans="1:13" ht="15.75" customHeight="1" x14ac:dyDescent="0.3">
      <c r="A256" s="2" t="s">
        <v>496</v>
      </c>
      <c r="B256" s="2" t="s">
        <v>43</v>
      </c>
      <c r="C256" s="2" t="s">
        <v>21</v>
      </c>
      <c r="D256" s="2" t="s">
        <v>35</v>
      </c>
      <c r="E256" s="2" t="s">
        <v>71</v>
      </c>
      <c r="F256" s="9">
        <v>3767</v>
      </c>
      <c r="G256" s="9">
        <v>514</v>
      </c>
      <c r="H256" s="9">
        <v>238</v>
      </c>
      <c r="I256" s="9">
        <v>37670</v>
      </c>
      <c r="J256" s="9">
        <v>36807</v>
      </c>
      <c r="K256" s="9">
        <v>226</v>
      </c>
      <c r="L256" s="2" t="s">
        <v>62</v>
      </c>
      <c r="M256" s="2" t="s">
        <v>38</v>
      </c>
    </row>
    <row r="257" spans="1:13" ht="15.75" customHeight="1" x14ac:dyDescent="0.3">
      <c r="A257" s="2" t="s">
        <v>497</v>
      </c>
      <c r="B257" s="2" t="s">
        <v>27</v>
      </c>
      <c r="C257" s="2" t="s">
        <v>252</v>
      </c>
      <c r="D257" s="2" t="s">
        <v>45</v>
      </c>
      <c r="E257" s="2" t="s">
        <v>68</v>
      </c>
      <c r="F257" s="9">
        <v>2143</v>
      </c>
      <c r="G257" s="9">
        <v>12</v>
      </c>
      <c r="H257" s="9">
        <v>204</v>
      </c>
      <c r="I257" s="9">
        <v>40717</v>
      </c>
      <c r="J257" s="9">
        <v>40125</v>
      </c>
      <c r="K257" s="9">
        <v>248</v>
      </c>
      <c r="L257" s="2" t="s">
        <v>37</v>
      </c>
      <c r="M257" s="2" t="s">
        <v>25</v>
      </c>
    </row>
    <row r="258" spans="1:13" ht="15.75" customHeight="1" x14ac:dyDescent="0.3">
      <c r="A258" s="2" t="s">
        <v>498</v>
      </c>
      <c r="B258" s="2" t="s">
        <v>43</v>
      </c>
      <c r="C258" s="2" t="s">
        <v>291</v>
      </c>
      <c r="D258" s="2" t="s">
        <v>52</v>
      </c>
      <c r="E258" s="2" t="s">
        <v>59</v>
      </c>
      <c r="F258" s="9">
        <v>3090</v>
      </c>
      <c r="G258" s="9">
        <v>697</v>
      </c>
      <c r="H258" s="9">
        <v>164</v>
      </c>
      <c r="I258" s="9">
        <v>49440</v>
      </c>
      <c r="J258" s="9">
        <v>48524</v>
      </c>
      <c r="K258" s="9">
        <v>25</v>
      </c>
      <c r="L258" s="2" t="s">
        <v>499</v>
      </c>
      <c r="M258" s="2" t="s">
        <v>25</v>
      </c>
    </row>
    <row r="259" spans="1:13" ht="15.75" customHeight="1" x14ac:dyDescent="0.3">
      <c r="A259" s="2" t="s">
        <v>500</v>
      </c>
      <c r="B259" s="2" t="s">
        <v>33</v>
      </c>
      <c r="C259" s="2" t="s">
        <v>501</v>
      </c>
      <c r="D259" s="2" t="s">
        <v>35</v>
      </c>
      <c r="E259" s="2" t="s">
        <v>36</v>
      </c>
      <c r="F259" s="9">
        <v>3601</v>
      </c>
      <c r="G259" s="9">
        <v>695</v>
      </c>
      <c r="H259" s="9">
        <v>75</v>
      </c>
      <c r="I259" s="9">
        <v>21606</v>
      </c>
      <c r="J259" s="9">
        <v>21454</v>
      </c>
      <c r="K259" s="9">
        <v>172</v>
      </c>
      <c r="L259" s="2" t="s">
        <v>37</v>
      </c>
      <c r="M259" s="2" t="s">
        <v>25</v>
      </c>
    </row>
    <row r="260" spans="1:13" ht="15.75" customHeight="1" x14ac:dyDescent="0.3">
      <c r="A260" s="2" t="s">
        <v>502</v>
      </c>
      <c r="B260" s="2" t="s">
        <v>43</v>
      </c>
      <c r="C260" s="2" t="s">
        <v>249</v>
      </c>
      <c r="D260" s="2" t="s">
        <v>22</v>
      </c>
      <c r="E260" s="2" t="s">
        <v>56</v>
      </c>
      <c r="F260" s="9">
        <v>562</v>
      </c>
      <c r="G260" s="9">
        <v>158</v>
      </c>
      <c r="H260" s="9">
        <v>149</v>
      </c>
      <c r="I260" s="9">
        <v>3372</v>
      </c>
      <c r="J260" s="9">
        <v>2940</v>
      </c>
      <c r="K260" s="9">
        <v>93</v>
      </c>
      <c r="L260" s="2" t="s">
        <v>30</v>
      </c>
      <c r="M260" s="2" t="s">
        <v>19</v>
      </c>
    </row>
    <row r="261" spans="1:13" ht="15.75" customHeight="1" x14ac:dyDescent="0.3">
      <c r="A261" s="2" t="s">
        <v>503</v>
      </c>
      <c r="B261" s="2" t="s">
        <v>33</v>
      </c>
      <c r="C261" s="2" t="s">
        <v>504</v>
      </c>
      <c r="D261" s="2" t="s">
        <v>35</v>
      </c>
      <c r="E261" s="2" t="s">
        <v>36</v>
      </c>
      <c r="F261" s="9">
        <v>4332</v>
      </c>
      <c r="G261" s="9">
        <v>771</v>
      </c>
      <c r="H261" s="9">
        <v>219</v>
      </c>
      <c r="I261" s="9">
        <v>60648</v>
      </c>
      <c r="J261" s="9">
        <v>60397</v>
      </c>
      <c r="K261" s="9">
        <v>10</v>
      </c>
      <c r="L261" s="2" t="s">
        <v>505</v>
      </c>
      <c r="M261" s="2" t="s">
        <v>31</v>
      </c>
    </row>
    <row r="262" spans="1:13" ht="15.75" customHeight="1" x14ac:dyDescent="0.3">
      <c r="A262" s="2" t="s">
        <v>506</v>
      </c>
      <c r="B262" s="2" t="s">
        <v>33</v>
      </c>
      <c r="C262" s="2" t="s">
        <v>507</v>
      </c>
      <c r="D262" s="2" t="s">
        <v>52</v>
      </c>
      <c r="E262" s="2" t="s">
        <v>215</v>
      </c>
      <c r="F262" s="9">
        <v>4853</v>
      </c>
      <c r="G262" s="9">
        <v>837</v>
      </c>
      <c r="H262" s="9">
        <v>340</v>
      </c>
      <c r="I262" s="9">
        <v>72795</v>
      </c>
      <c r="J262" s="9">
        <v>72237</v>
      </c>
      <c r="K262" s="9">
        <v>170</v>
      </c>
      <c r="L262" s="2" t="s">
        <v>37</v>
      </c>
      <c r="M262" s="2" t="s">
        <v>19</v>
      </c>
    </row>
    <row r="263" spans="1:13" ht="15.75" customHeight="1" x14ac:dyDescent="0.3">
      <c r="A263" s="2" t="s">
        <v>508</v>
      </c>
      <c r="B263" s="2" t="s">
        <v>27</v>
      </c>
      <c r="C263" s="2" t="s">
        <v>473</v>
      </c>
      <c r="D263" s="2" t="s">
        <v>52</v>
      </c>
      <c r="E263" s="2" t="s">
        <v>53</v>
      </c>
      <c r="F263" s="9">
        <v>1206</v>
      </c>
      <c r="G263" s="9">
        <v>238</v>
      </c>
      <c r="H263" s="9">
        <v>36</v>
      </c>
      <c r="I263" s="9">
        <v>9648</v>
      </c>
      <c r="J263" s="9">
        <v>9417</v>
      </c>
      <c r="K263" s="9">
        <v>237</v>
      </c>
      <c r="L263" s="2" t="s">
        <v>30</v>
      </c>
    </row>
    <row r="264" spans="1:13" ht="15.75" customHeight="1" x14ac:dyDescent="0.3">
      <c r="A264" s="2" t="s">
        <v>509</v>
      </c>
      <c r="B264" s="2" t="s">
        <v>33</v>
      </c>
      <c r="C264" s="2" t="s">
        <v>510</v>
      </c>
      <c r="D264" s="2" t="s">
        <v>16</v>
      </c>
      <c r="E264" s="2" t="s">
        <v>82</v>
      </c>
      <c r="F264" s="9">
        <v>2603</v>
      </c>
      <c r="G264" s="9">
        <v>690</v>
      </c>
      <c r="H264" s="9">
        <v>205</v>
      </c>
      <c r="I264" s="9">
        <v>13015</v>
      </c>
      <c r="J264" s="9">
        <v>12130</v>
      </c>
      <c r="K264" s="9">
        <v>20</v>
      </c>
      <c r="L264" s="2" t="s">
        <v>62</v>
      </c>
      <c r="M264" s="2" t="s">
        <v>25</v>
      </c>
    </row>
    <row r="265" spans="1:13" ht="15.75" customHeight="1" x14ac:dyDescent="0.3">
      <c r="A265" s="2" t="s">
        <v>511</v>
      </c>
      <c r="B265" s="2" t="s">
        <v>14</v>
      </c>
      <c r="C265" s="2" t="s">
        <v>512</v>
      </c>
      <c r="D265" s="2" t="s">
        <v>52</v>
      </c>
      <c r="E265" s="2" t="s">
        <v>132</v>
      </c>
      <c r="F265" s="9">
        <v>59</v>
      </c>
      <c r="G265" s="9">
        <v>163</v>
      </c>
      <c r="H265" s="9">
        <v>93</v>
      </c>
      <c r="I265" s="9">
        <v>590</v>
      </c>
      <c r="J265" s="9">
        <v>475</v>
      </c>
      <c r="K265" s="9">
        <v>293</v>
      </c>
      <c r="L265" s="2" t="s">
        <v>30</v>
      </c>
      <c r="M265" s="2" t="s">
        <v>25</v>
      </c>
    </row>
    <row r="266" spans="1:13" ht="15.75" customHeight="1" x14ac:dyDescent="0.3">
      <c r="A266" s="2" t="s">
        <v>513</v>
      </c>
      <c r="B266" s="2" t="s">
        <v>14</v>
      </c>
      <c r="C266" s="2" t="s">
        <v>514</v>
      </c>
      <c r="D266" s="2" t="s">
        <v>45</v>
      </c>
      <c r="E266" s="2" t="s">
        <v>49</v>
      </c>
      <c r="F266" s="9">
        <v>1877</v>
      </c>
      <c r="G266" s="9">
        <v>745</v>
      </c>
      <c r="H266" s="9">
        <v>225</v>
      </c>
      <c r="I266" s="9">
        <v>11262</v>
      </c>
      <c r="J266" s="9">
        <v>10967</v>
      </c>
      <c r="K266" s="9">
        <v>41</v>
      </c>
      <c r="L266" s="2" t="s">
        <v>37</v>
      </c>
      <c r="M266" s="2" t="s">
        <v>38</v>
      </c>
    </row>
    <row r="267" spans="1:13" ht="15.75" customHeight="1" x14ac:dyDescent="0.3">
      <c r="A267" s="2" t="s">
        <v>515</v>
      </c>
      <c r="B267" s="2" t="s">
        <v>43</v>
      </c>
      <c r="C267" s="2" t="s">
        <v>129</v>
      </c>
      <c r="D267" s="2" t="s">
        <v>35</v>
      </c>
      <c r="E267" s="2" t="s">
        <v>71</v>
      </c>
      <c r="F267" s="9">
        <v>4182</v>
      </c>
      <c r="G267" s="9">
        <v>640</v>
      </c>
      <c r="H267" s="9">
        <v>240</v>
      </c>
      <c r="I267" s="9">
        <v>50184</v>
      </c>
      <c r="J267" s="9">
        <v>49351</v>
      </c>
      <c r="K267" s="9">
        <v>10</v>
      </c>
      <c r="L267" s="2" t="s">
        <v>30</v>
      </c>
      <c r="M267" s="2" t="s">
        <v>31</v>
      </c>
    </row>
    <row r="268" spans="1:13" ht="15.75" customHeight="1" x14ac:dyDescent="0.3">
      <c r="A268" s="2" t="s">
        <v>516</v>
      </c>
      <c r="B268" s="2" t="s">
        <v>14</v>
      </c>
      <c r="C268" s="2" t="s">
        <v>396</v>
      </c>
      <c r="D268" s="2" t="s">
        <v>16</v>
      </c>
      <c r="E268" s="2" t="s">
        <v>17</v>
      </c>
      <c r="F268" s="9">
        <v>4187</v>
      </c>
      <c r="G268" s="9">
        <v>66</v>
      </c>
      <c r="H268" s="9">
        <v>31</v>
      </c>
      <c r="I268" s="9">
        <v>66992</v>
      </c>
      <c r="J268" s="9">
        <v>66614</v>
      </c>
      <c r="K268" s="9">
        <v>62</v>
      </c>
      <c r="L268" s="2" t="s">
        <v>62</v>
      </c>
    </row>
    <row r="269" spans="1:13" ht="15.75" customHeight="1" x14ac:dyDescent="0.3">
      <c r="A269" s="2" t="s">
        <v>517</v>
      </c>
      <c r="B269" s="2" t="s">
        <v>33</v>
      </c>
      <c r="C269" s="2" t="s">
        <v>518</v>
      </c>
      <c r="D269" s="2" t="s">
        <v>16</v>
      </c>
      <c r="E269" s="2" t="s">
        <v>82</v>
      </c>
      <c r="F269" s="9">
        <v>4579</v>
      </c>
      <c r="G269" s="9">
        <v>125</v>
      </c>
      <c r="H269" s="9">
        <v>300</v>
      </c>
      <c r="I269" s="9">
        <v>59527</v>
      </c>
      <c r="J269" s="9">
        <v>59400</v>
      </c>
      <c r="K269" s="9">
        <v>269</v>
      </c>
      <c r="L269" s="2" t="s">
        <v>37</v>
      </c>
      <c r="M269" s="2" t="s">
        <v>19</v>
      </c>
    </row>
    <row r="270" spans="1:13" ht="15.75" customHeight="1" x14ac:dyDescent="0.3">
      <c r="A270" s="2" t="s">
        <v>519</v>
      </c>
      <c r="B270" s="2" t="s">
        <v>33</v>
      </c>
      <c r="C270" s="2" t="s">
        <v>520</v>
      </c>
      <c r="D270" s="2" t="s">
        <v>74</v>
      </c>
      <c r="E270" s="2" t="s">
        <v>85</v>
      </c>
      <c r="F270" s="9">
        <v>4561</v>
      </c>
      <c r="G270" s="9">
        <v>51</v>
      </c>
      <c r="H270" s="9">
        <v>441</v>
      </c>
      <c r="I270" s="9">
        <v>22805</v>
      </c>
      <c r="J270" s="9">
        <v>21890</v>
      </c>
      <c r="K270" s="9">
        <v>45</v>
      </c>
      <c r="L270" s="2" t="s">
        <v>30</v>
      </c>
      <c r="M270" s="2" t="s">
        <v>25</v>
      </c>
    </row>
    <row r="271" spans="1:13" ht="15.75" customHeight="1" x14ac:dyDescent="0.3">
      <c r="A271" s="2" t="s">
        <v>521</v>
      </c>
      <c r="B271" s="2" t="s">
        <v>27</v>
      </c>
      <c r="C271" s="2" t="s">
        <v>414</v>
      </c>
      <c r="D271" s="2" t="s">
        <v>16</v>
      </c>
      <c r="E271" s="2" t="s">
        <v>29</v>
      </c>
      <c r="F271" s="9">
        <v>3774</v>
      </c>
      <c r="G271" s="9">
        <v>239</v>
      </c>
      <c r="H271" s="9">
        <v>39</v>
      </c>
      <c r="I271" s="9">
        <v>60384</v>
      </c>
      <c r="J271" s="9">
        <v>59490</v>
      </c>
      <c r="K271" s="9">
        <v>241</v>
      </c>
      <c r="L271" s="2" t="s">
        <v>30</v>
      </c>
      <c r="M271" s="2" t="s">
        <v>31</v>
      </c>
    </row>
    <row r="272" spans="1:13" ht="15.75" customHeight="1" x14ac:dyDescent="0.3">
      <c r="A272" s="2" t="s">
        <v>522</v>
      </c>
      <c r="B272" s="2" t="s">
        <v>33</v>
      </c>
      <c r="C272" s="2" t="s">
        <v>523</v>
      </c>
      <c r="D272" s="2" t="s">
        <v>74</v>
      </c>
      <c r="E272" s="2" t="s">
        <v>85</v>
      </c>
      <c r="F272" s="9">
        <v>3575</v>
      </c>
      <c r="G272" s="9">
        <v>749</v>
      </c>
      <c r="H272" s="9">
        <v>111</v>
      </c>
      <c r="I272" s="9">
        <v>21450</v>
      </c>
      <c r="J272" s="9">
        <v>20785</v>
      </c>
      <c r="K272" s="9">
        <v>195</v>
      </c>
      <c r="L272" s="2" t="s">
        <v>37</v>
      </c>
      <c r="M272" s="2" t="s">
        <v>25</v>
      </c>
    </row>
    <row r="273" spans="1:13" ht="15.75" customHeight="1" x14ac:dyDescent="0.3">
      <c r="A273" s="2" t="s">
        <v>524</v>
      </c>
      <c r="B273" s="2" t="s">
        <v>33</v>
      </c>
      <c r="C273" s="2" t="s">
        <v>490</v>
      </c>
      <c r="D273" s="2" t="s">
        <v>22</v>
      </c>
      <c r="E273" s="2" t="s">
        <v>113</v>
      </c>
      <c r="F273" s="9">
        <v>4941</v>
      </c>
      <c r="G273" s="9">
        <v>414</v>
      </c>
      <c r="H273" s="9">
        <v>266</v>
      </c>
      <c r="I273" s="9">
        <v>39528</v>
      </c>
      <c r="J273" s="9">
        <v>39154</v>
      </c>
      <c r="K273" s="9">
        <v>217</v>
      </c>
      <c r="L273" s="2" t="s">
        <v>30</v>
      </c>
      <c r="M273" s="2" t="s">
        <v>31</v>
      </c>
    </row>
    <row r="274" spans="1:13" ht="15.75" customHeight="1" x14ac:dyDescent="0.3">
      <c r="A274" s="2" t="s">
        <v>525</v>
      </c>
      <c r="B274" s="2" t="s">
        <v>27</v>
      </c>
      <c r="C274" s="2" t="s">
        <v>526</v>
      </c>
      <c r="D274" s="2" t="s">
        <v>35</v>
      </c>
      <c r="E274" s="2" t="s">
        <v>154</v>
      </c>
      <c r="F274" s="9">
        <v>3641</v>
      </c>
      <c r="G274" s="9">
        <v>226</v>
      </c>
      <c r="H274" s="9">
        <v>46</v>
      </c>
      <c r="I274" s="9">
        <v>40051</v>
      </c>
      <c r="J274" s="9">
        <v>39319</v>
      </c>
      <c r="K274" s="9">
        <v>296</v>
      </c>
      <c r="L274" s="2" t="s">
        <v>37</v>
      </c>
      <c r="M274" s="2" t="s">
        <v>38</v>
      </c>
    </row>
    <row r="275" spans="1:13" ht="15.75" customHeight="1" x14ac:dyDescent="0.3">
      <c r="A275" s="2" t="s">
        <v>527</v>
      </c>
      <c r="B275" s="2" t="s">
        <v>14</v>
      </c>
      <c r="C275" s="2" t="s">
        <v>336</v>
      </c>
      <c r="D275" s="2" t="s">
        <v>45</v>
      </c>
      <c r="E275" s="2" t="s">
        <v>49</v>
      </c>
      <c r="F275" s="9">
        <v>3535</v>
      </c>
      <c r="G275" s="9">
        <v>494</v>
      </c>
      <c r="H275" s="9">
        <v>152</v>
      </c>
      <c r="I275" s="9">
        <v>53025</v>
      </c>
      <c r="J275" s="9">
        <v>52791</v>
      </c>
      <c r="K275" s="9">
        <v>44</v>
      </c>
      <c r="L275" s="2" t="s">
        <v>30</v>
      </c>
      <c r="M275" s="2" t="s">
        <v>38</v>
      </c>
    </row>
    <row r="276" spans="1:13" ht="15.75" customHeight="1" x14ac:dyDescent="0.3">
      <c r="A276" s="2" t="s">
        <v>528</v>
      </c>
      <c r="B276" s="2" t="s">
        <v>43</v>
      </c>
      <c r="C276" s="2" t="s">
        <v>501</v>
      </c>
      <c r="D276" s="2" t="s">
        <v>16</v>
      </c>
      <c r="E276" s="2" t="s">
        <v>65</v>
      </c>
      <c r="F276" s="9">
        <v>1741</v>
      </c>
      <c r="G276" s="9">
        <v>831</v>
      </c>
      <c r="H276" s="9">
        <v>345</v>
      </c>
      <c r="I276" s="9">
        <v>17410</v>
      </c>
      <c r="J276" s="9">
        <v>16844</v>
      </c>
      <c r="K276" s="9">
        <v>58</v>
      </c>
      <c r="L276" s="2" t="s">
        <v>37</v>
      </c>
      <c r="M276" s="2" t="s">
        <v>31</v>
      </c>
    </row>
    <row r="277" spans="1:13" ht="15.75" customHeight="1" x14ac:dyDescent="0.3">
      <c r="A277" s="2" t="s">
        <v>529</v>
      </c>
      <c r="B277" s="2" t="s">
        <v>14</v>
      </c>
      <c r="C277" s="2" t="s">
        <v>530</v>
      </c>
      <c r="D277" s="2" t="s">
        <v>45</v>
      </c>
      <c r="E277" s="2" t="s">
        <v>49</v>
      </c>
      <c r="F277" s="9">
        <v>1556</v>
      </c>
      <c r="G277" s="9">
        <v>195</v>
      </c>
      <c r="H277" s="9">
        <v>131</v>
      </c>
      <c r="I277" s="9">
        <v>9336</v>
      </c>
      <c r="J277" s="9">
        <v>8875</v>
      </c>
      <c r="K277" s="9">
        <v>137</v>
      </c>
      <c r="L277" s="2" t="s">
        <v>30</v>
      </c>
      <c r="M277" s="2" t="s">
        <v>25</v>
      </c>
    </row>
    <row r="278" spans="1:13" ht="15.75" customHeight="1" x14ac:dyDescent="0.3">
      <c r="A278" s="2" t="s">
        <v>531</v>
      </c>
      <c r="B278" s="2" t="s">
        <v>43</v>
      </c>
      <c r="C278" s="2" t="s">
        <v>291</v>
      </c>
      <c r="D278" s="2" t="s">
        <v>52</v>
      </c>
      <c r="E278" s="2" t="s">
        <v>59</v>
      </c>
      <c r="F278" s="9">
        <v>4236</v>
      </c>
      <c r="G278" s="9">
        <v>711</v>
      </c>
      <c r="H278" s="9">
        <v>298</v>
      </c>
      <c r="I278" s="9">
        <v>21180</v>
      </c>
      <c r="J278" s="9">
        <v>20516</v>
      </c>
      <c r="K278" s="9">
        <v>238</v>
      </c>
      <c r="L278" s="2" t="s">
        <v>62</v>
      </c>
      <c r="M278" s="2" t="s">
        <v>19</v>
      </c>
    </row>
    <row r="279" spans="1:13" ht="15.75" customHeight="1" x14ac:dyDescent="0.3">
      <c r="A279" s="2" t="s">
        <v>532</v>
      </c>
      <c r="B279" s="2" t="s">
        <v>14</v>
      </c>
      <c r="C279" s="2" t="s">
        <v>533</v>
      </c>
      <c r="D279" s="2" t="s">
        <v>22</v>
      </c>
      <c r="E279" s="2" t="s">
        <v>23</v>
      </c>
      <c r="F279" s="9">
        <v>4516</v>
      </c>
      <c r="G279" s="9">
        <v>836</v>
      </c>
      <c r="H279" s="9">
        <v>169</v>
      </c>
      <c r="I279" s="9">
        <v>49676</v>
      </c>
      <c r="J279" s="9">
        <v>49257</v>
      </c>
      <c r="K279" s="9">
        <v>282</v>
      </c>
      <c r="L279" s="2" t="s">
        <v>37</v>
      </c>
      <c r="M279" s="2" t="s">
        <v>38</v>
      </c>
    </row>
    <row r="280" spans="1:13" ht="15.75" customHeight="1" x14ac:dyDescent="0.3">
      <c r="A280" s="2" t="s">
        <v>534</v>
      </c>
      <c r="B280" s="2" t="s">
        <v>27</v>
      </c>
      <c r="C280" s="2" t="s">
        <v>195</v>
      </c>
      <c r="D280" s="2" t="s">
        <v>52</v>
      </c>
      <c r="E280" s="2" t="s">
        <v>53</v>
      </c>
      <c r="F280" s="9">
        <v>4905</v>
      </c>
      <c r="G280" s="9">
        <v>845</v>
      </c>
      <c r="H280" s="9">
        <v>129</v>
      </c>
      <c r="I280" s="9">
        <v>98100</v>
      </c>
      <c r="J280" s="9">
        <v>97772</v>
      </c>
      <c r="K280" s="9">
        <v>279</v>
      </c>
      <c r="L280" s="2" t="s">
        <v>30</v>
      </c>
      <c r="M280" s="2" t="s">
        <v>25</v>
      </c>
    </row>
    <row r="281" spans="1:13" ht="15.75" customHeight="1" x14ac:dyDescent="0.3">
      <c r="A281" s="2" t="s">
        <v>535</v>
      </c>
      <c r="B281" s="2" t="s">
        <v>27</v>
      </c>
      <c r="C281" s="2" t="s">
        <v>168</v>
      </c>
      <c r="D281" s="2" t="s">
        <v>74</v>
      </c>
      <c r="E281" s="2" t="s">
        <v>219</v>
      </c>
      <c r="F281" s="9">
        <v>4275</v>
      </c>
      <c r="G281" s="9">
        <v>680</v>
      </c>
      <c r="H281" s="9">
        <v>385</v>
      </c>
      <c r="I281" s="9">
        <v>64125</v>
      </c>
      <c r="J281" s="9">
        <v>63650</v>
      </c>
      <c r="K281" s="9">
        <v>104</v>
      </c>
      <c r="L281" s="2" t="s">
        <v>175</v>
      </c>
      <c r="M281" s="2" t="s">
        <v>38</v>
      </c>
    </row>
    <row r="282" spans="1:13" ht="15.75" customHeight="1" x14ac:dyDescent="0.3">
      <c r="A282" s="2" t="s">
        <v>536</v>
      </c>
      <c r="B282" s="2" t="s">
        <v>27</v>
      </c>
      <c r="C282" s="2" t="s">
        <v>537</v>
      </c>
      <c r="D282" s="2" t="s">
        <v>52</v>
      </c>
      <c r="E282" s="2" t="s">
        <v>53</v>
      </c>
      <c r="F282" s="9">
        <v>3166</v>
      </c>
      <c r="G282" s="9">
        <v>90</v>
      </c>
      <c r="H282" s="9">
        <v>341</v>
      </c>
      <c r="I282" s="9">
        <v>56988</v>
      </c>
      <c r="J282" s="9">
        <v>56125</v>
      </c>
      <c r="K282" s="9">
        <v>135</v>
      </c>
      <c r="L282" s="2" t="s">
        <v>37</v>
      </c>
      <c r="M282" s="2" t="s">
        <v>25</v>
      </c>
    </row>
    <row r="283" spans="1:13" ht="15.75" customHeight="1" x14ac:dyDescent="0.3">
      <c r="A283" s="2" t="s">
        <v>538</v>
      </c>
      <c r="B283" s="2" t="s">
        <v>33</v>
      </c>
      <c r="C283" s="2" t="s">
        <v>539</v>
      </c>
      <c r="D283" s="2" t="s">
        <v>74</v>
      </c>
      <c r="E283" s="2" t="s">
        <v>85</v>
      </c>
      <c r="F283" s="9">
        <v>1488</v>
      </c>
      <c r="G283" s="9">
        <v>417</v>
      </c>
      <c r="H283" s="9">
        <v>168</v>
      </c>
      <c r="I283" s="9">
        <v>19344</v>
      </c>
      <c r="J283" s="9">
        <v>18395</v>
      </c>
      <c r="K283" s="9">
        <v>30</v>
      </c>
      <c r="L283" s="2" t="s">
        <v>62</v>
      </c>
      <c r="M283" s="2" t="s">
        <v>31</v>
      </c>
    </row>
    <row r="284" spans="1:13" ht="15.75" customHeight="1" x14ac:dyDescent="0.3">
      <c r="A284" s="2" t="s">
        <v>540</v>
      </c>
      <c r="B284" s="2" t="s">
        <v>14</v>
      </c>
      <c r="C284" s="2" t="s">
        <v>541</v>
      </c>
      <c r="D284" s="2" t="s">
        <v>16</v>
      </c>
      <c r="E284" s="2" t="s">
        <v>17</v>
      </c>
      <c r="F284" s="9">
        <v>3367</v>
      </c>
      <c r="G284" s="9">
        <v>302</v>
      </c>
      <c r="H284" s="9">
        <v>57</v>
      </c>
      <c r="I284" s="9">
        <v>63973</v>
      </c>
      <c r="J284" s="9">
        <v>63789</v>
      </c>
      <c r="K284" s="9">
        <v>157</v>
      </c>
      <c r="L284" s="2" t="s">
        <v>62</v>
      </c>
      <c r="M284" s="2" t="s">
        <v>25</v>
      </c>
    </row>
    <row r="285" spans="1:13" ht="15.75" customHeight="1" x14ac:dyDescent="0.3">
      <c r="A285" s="2" t="s">
        <v>542</v>
      </c>
      <c r="B285" s="2" t="s">
        <v>14</v>
      </c>
      <c r="C285" s="2" t="s">
        <v>103</v>
      </c>
      <c r="D285" s="2" t="s">
        <v>22</v>
      </c>
      <c r="E285" s="2" t="s">
        <v>23</v>
      </c>
      <c r="F285" s="9">
        <v>571</v>
      </c>
      <c r="G285" s="9">
        <v>190</v>
      </c>
      <c r="H285" s="9">
        <v>352</v>
      </c>
      <c r="I285" s="9">
        <v>9707</v>
      </c>
      <c r="J285" s="9">
        <v>9418</v>
      </c>
      <c r="K285" s="9">
        <v>231</v>
      </c>
      <c r="L285" s="2" t="s">
        <v>30</v>
      </c>
      <c r="M285" s="2" t="s">
        <v>38</v>
      </c>
    </row>
    <row r="286" spans="1:13" ht="15.75" customHeight="1" x14ac:dyDescent="0.3">
      <c r="A286" s="2" t="s">
        <v>543</v>
      </c>
      <c r="B286" s="2" t="s">
        <v>27</v>
      </c>
      <c r="C286" s="2" t="s">
        <v>430</v>
      </c>
      <c r="D286" s="2" t="s">
        <v>22</v>
      </c>
      <c r="E286" s="2" t="s">
        <v>104</v>
      </c>
      <c r="F286" s="9">
        <v>4021</v>
      </c>
      <c r="G286" s="9">
        <v>794</v>
      </c>
      <c r="H286" s="9">
        <v>77</v>
      </c>
      <c r="I286" s="9">
        <v>36189</v>
      </c>
      <c r="J286" s="9">
        <v>35505</v>
      </c>
      <c r="K286" s="9">
        <v>174</v>
      </c>
      <c r="L286" s="2" t="s">
        <v>37</v>
      </c>
    </row>
    <row r="287" spans="1:13" ht="15.75" customHeight="1" x14ac:dyDescent="0.3">
      <c r="A287" s="2" t="s">
        <v>544</v>
      </c>
      <c r="B287" s="2" t="s">
        <v>27</v>
      </c>
      <c r="C287" s="2" t="s">
        <v>545</v>
      </c>
      <c r="D287" s="2" t="s">
        <v>74</v>
      </c>
      <c r="E287" s="2" t="s">
        <v>219</v>
      </c>
      <c r="F287" s="9">
        <v>3389</v>
      </c>
      <c r="G287" s="9">
        <v>344</v>
      </c>
      <c r="H287" s="9">
        <v>229</v>
      </c>
      <c r="I287" s="9">
        <v>20334</v>
      </c>
      <c r="J287" s="9">
        <v>19443</v>
      </c>
      <c r="K287" s="9">
        <v>228</v>
      </c>
      <c r="L287" s="2" t="s">
        <v>62</v>
      </c>
      <c r="M287" s="2" t="s">
        <v>31</v>
      </c>
    </row>
    <row r="288" spans="1:13" ht="15.75" customHeight="1" x14ac:dyDescent="0.3">
      <c r="A288" s="2" t="s">
        <v>546</v>
      </c>
      <c r="B288" s="2" t="s">
        <v>33</v>
      </c>
      <c r="C288" s="2" t="s">
        <v>404</v>
      </c>
      <c r="D288" s="2" t="s">
        <v>16</v>
      </c>
      <c r="E288" s="2" t="s">
        <v>82</v>
      </c>
      <c r="F288" s="9">
        <v>1164</v>
      </c>
      <c r="G288" s="9">
        <v>616</v>
      </c>
      <c r="H288" s="9">
        <v>324</v>
      </c>
      <c r="I288" s="9">
        <v>6984</v>
      </c>
      <c r="J288" s="9">
        <v>6636</v>
      </c>
      <c r="K288" s="9">
        <v>82</v>
      </c>
      <c r="L288" s="2" t="s">
        <v>37</v>
      </c>
      <c r="M288" s="2" t="s">
        <v>19</v>
      </c>
    </row>
    <row r="289" spans="1:13" ht="15.75" customHeight="1" x14ac:dyDescent="0.3">
      <c r="A289" s="2" t="s">
        <v>547</v>
      </c>
      <c r="B289" s="2" t="s">
        <v>27</v>
      </c>
      <c r="C289" s="2" t="s">
        <v>548</v>
      </c>
      <c r="D289" s="2" t="s">
        <v>45</v>
      </c>
      <c r="E289" s="2" t="s">
        <v>68</v>
      </c>
      <c r="F289" s="9">
        <v>4780</v>
      </c>
      <c r="G289" s="9">
        <v>691</v>
      </c>
      <c r="H289" s="9">
        <v>380</v>
      </c>
      <c r="I289" s="9">
        <v>86040</v>
      </c>
      <c r="J289" s="9">
        <v>85743</v>
      </c>
      <c r="K289" s="9">
        <v>262</v>
      </c>
      <c r="L289" s="2" t="s">
        <v>62</v>
      </c>
      <c r="M289" s="2" t="s">
        <v>31</v>
      </c>
    </row>
    <row r="290" spans="1:13" ht="15.75" customHeight="1" x14ac:dyDescent="0.3">
      <c r="A290" s="2" t="s">
        <v>549</v>
      </c>
      <c r="B290" s="2" t="s">
        <v>43</v>
      </c>
      <c r="C290" s="2" t="s">
        <v>307</v>
      </c>
      <c r="D290" s="2" t="s">
        <v>45</v>
      </c>
      <c r="E290" s="2" t="s">
        <v>46</v>
      </c>
      <c r="F290" s="9">
        <v>2751</v>
      </c>
      <c r="G290" s="9">
        <v>33</v>
      </c>
      <c r="H290" s="9">
        <v>430</v>
      </c>
      <c r="I290" s="9">
        <v>44016</v>
      </c>
      <c r="J290" s="9">
        <v>43415</v>
      </c>
      <c r="K290" s="9">
        <v>129</v>
      </c>
      <c r="L290" s="2" t="s">
        <v>62</v>
      </c>
    </row>
    <row r="291" spans="1:13" ht="15.75" customHeight="1" x14ac:dyDescent="0.3">
      <c r="A291" s="2" t="s">
        <v>550</v>
      </c>
      <c r="B291" s="2" t="s">
        <v>33</v>
      </c>
      <c r="C291" s="2" t="s">
        <v>551</v>
      </c>
      <c r="D291" s="2" t="s">
        <v>45</v>
      </c>
      <c r="E291" s="2" t="s">
        <v>88</v>
      </c>
      <c r="F291" s="9">
        <v>2107</v>
      </c>
      <c r="G291" s="9">
        <v>550</v>
      </c>
      <c r="H291" s="9">
        <v>349</v>
      </c>
      <c r="I291" s="9">
        <v>35819</v>
      </c>
      <c r="J291" s="9">
        <v>35340</v>
      </c>
      <c r="K291" s="9">
        <v>191</v>
      </c>
      <c r="L291" s="2" t="s">
        <v>37</v>
      </c>
      <c r="M291" s="2" t="s">
        <v>38</v>
      </c>
    </row>
    <row r="292" spans="1:13" ht="15.75" customHeight="1" x14ac:dyDescent="0.3">
      <c r="A292" s="2" t="s">
        <v>552</v>
      </c>
      <c r="B292" s="2" t="s">
        <v>43</v>
      </c>
      <c r="C292" s="2" t="s">
        <v>94</v>
      </c>
      <c r="D292" s="2" t="s">
        <v>74</v>
      </c>
      <c r="E292" s="2" t="s">
        <v>75</v>
      </c>
      <c r="F292" s="9">
        <v>4663</v>
      </c>
      <c r="G292" s="9">
        <v>145</v>
      </c>
      <c r="H292" s="9">
        <v>225</v>
      </c>
      <c r="I292" s="9">
        <v>69945</v>
      </c>
      <c r="J292" s="9">
        <v>69596</v>
      </c>
      <c r="K292" s="9">
        <v>35</v>
      </c>
      <c r="L292" s="2" t="s">
        <v>37</v>
      </c>
      <c r="M292" s="2" t="s">
        <v>38</v>
      </c>
    </row>
    <row r="293" spans="1:13" ht="15.75" customHeight="1" x14ac:dyDescent="0.3">
      <c r="A293" s="2" t="s">
        <v>553</v>
      </c>
      <c r="B293" s="2" t="s">
        <v>43</v>
      </c>
      <c r="C293" s="2" t="s">
        <v>554</v>
      </c>
      <c r="D293" s="2" t="s">
        <v>22</v>
      </c>
      <c r="E293" s="2" t="s">
        <v>56</v>
      </c>
      <c r="F293" s="9">
        <v>880</v>
      </c>
      <c r="G293" s="9">
        <v>297</v>
      </c>
      <c r="H293" s="9">
        <v>345</v>
      </c>
      <c r="I293" s="9">
        <v>12320</v>
      </c>
      <c r="J293" s="9">
        <v>11978</v>
      </c>
      <c r="K293" s="9">
        <v>238</v>
      </c>
      <c r="L293" s="2" t="s">
        <v>95</v>
      </c>
    </row>
    <row r="294" spans="1:13" ht="15.75" customHeight="1" x14ac:dyDescent="0.3">
      <c r="A294" s="2" t="s">
        <v>555</v>
      </c>
      <c r="B294" s="2" t="s">
        <v>43</v>
      </c>
      <c r="C294" s="2" t="s">
        <v>556</v>
      </c>
      <c r="D294" s="2" t="s">
        <v>22</v>
      </c>
      <c r="E294" s="2" t="s">
        <v>56</v>
      </c>
      <c r="F294" s="9">
        <v>2634</v>
      </c>
      <c r="G294" s="9">
        <v>726</v>
      </c>
      <c r="H294" s="9">
        <v>241</v>
      </c>
      <c r="I294" s="9">
        <v>28974</v>
      </c>
      <c r="J294" s="9">
        <v>28102</v>
      </c>
      <c r="K294" s="9">
        <v>277</v>
      </c>
      <c r="L294" s="2" t="s">
        <v>37</v>
      </c>
      <c r="M294" s="2" t="s">
        <v>19</v>
      </c>
    </row>
    <row r="295" spans="1:13" ht="15.75" customHeight="1" x14ac:dyDescent="0.3">
      <c r="A295" s="2" t="s">
        <v>557</v>
      </c>
      <c r="B295" s="2" t="s">
        <v>43</v>
      </c>
      <c r="C295" s="2" t="s">
        <v>558</v>
      </c>
      <c r="D295" s="2" t="s">
        <v>45</v>
      </c>
      <c r="E295" s="2" t="s">
        <v>46</v>
      </c>
      <c r="F295" s="9">
        <v>4731</v>
      </c>
      <c r="G295" s="9">
        <v>173</v>
      </c>
      <c r="H295" s="9">
        <v>276</v>
      </c>
      <c r="I295" s="9">
        <v>28386</v>
      </c>
      <c r="J295" s="9">
        <v>28185</v>
      </c>
      <c r="K295" s="9">
        <v>89</v>
      </c>
      <c r="L295" s="2" t="s">
        <v>37</v>
      </c>
      <c r="M295" s="2" t="s">
        <v>31</v>
      </c>
    </row>
    <row r="296" spans="1:13" ht="15.75" customHeight="1" x14ac:dyDescent="0.3">
      <c r="A296" s="2" t="s">
        <v>559</v>
      </c>
      <c r="B296" s="2" t="s">
        <v>14</v>
      </c>
      <c r="C296" s="2" t="s">
        <v>436</v>
      </c>
      <c r="D296" s="2" t="s">
        <v>52</v>
      </c>
      <c r="E296" s="2" t="s">
        <v>132</v>
      </c>
      <c r="F296" s="9">
        <v>1952</v>
      </c>
      <c r="G296" s="9">
        <v>344</v>
      </c>
      <c r="H296" s="9">
        <v>287</v>
      </c>
      <c r="I296" s="9">
        <v>15616</v>
      </c>
      <c r="J296" s="9">
        <v>15403</v>
      </c>
      <c r="K296" s="9">
        <v>235</v>
      </c>
      <c r="L296" s="2" t="s">
        <v>216</v>
      </c>
      <c r="M296" s="2" t="s">
        <v>25</v>
      </c>
    </row>
    <row r="297" spans="1:13" ht="15.75" customHeight="1" x14ac:dyDescent="0.3">
      <c r="A297" s="2" t="s">
        <v>560</v>
      </c>
      <c r="B297" s="2" t="s">
        <v>14</v>
      </c>
      <c r="C297" s="2" t="s">
        <v>561</v>
      </c>
      <c r="D297" s="2" t="s">
        <v>74</v>
      </c>
      <c r="E297" s="2" t="s">
        <v>145</v>
      </c>
      <c r="F297" s="9">
        <v>3440</v>
      </c>
      <c r="G297" s="9">
        <v>13</v>
      </c>
      <c r="H297" s="9">
        <v>20</v>
      </c>
      <c r="I297" s="9">
        <v>58480</v>
      </c>
      <c r="J297" s="9">
        <v>58146</v>
      </c>
      <c r="K297" s="9">
        <v>210</v>
      </c>
      <c r="L297" s="2" t="s">
        <v>421</v>
      </c>
      <c r="M297" s="2" t="s">
        <v>38</v>
      </c>
    </row>
    <row r="298" spans="1:13" ht="15.75" customHeight="1" x14ac:dyDescent="0.3">
      <c r="A298" s="2" t="s">
        <v>562</v>
      </c>
      <c r="B298" s="2" t="s">
        <v>14</v>
      </c>
      <c r="C298" s="2" t="s">
        <v>563</v>
      </c>
      <c r="D298" s="2" t="s">
        <v>22</v>
      </c>
      <c r="E298" s="2" t="s">
        <v>23</v>
      </c>
      <c r="F298" s="9">
        <v>2166</v>
      </c>
      <c r="G298" s="9">
        <v>354</v>
      </c>
      <c r="H298" s="9">
        <v>117</v>
      </c>
      <c r="I298" s="9">
        <v>10830</v>
      </c>
      <c r="J298" s="9">
        <v>10245</v>
      </c>
      <c r="K298" s="9">
        <v>24</v>
      </c>
      <c r="L298" s="2" t="s">
        <v>37</v>
      </c>
      <c r="M298" s="2" t="s">
        <v>38</v>
      </c>
    </row>
    <row r="299" spans="1:13" ht="15.75" customHeight="1" x14ac:dyDescent="0.3">
      <c r="A299" s="2" t="s">
        <v>564</v>
      </c>
      <c r="B299" s="2" t="s">
        <v>43</v>
      </c>
      <c r="C299" s="2" t="s">
        <v>73</v>
      </c>
      <c r="D299" s="2" t="s">
        <v>52</v>
      </c>
      <c r="E299" s="2" t="s">
        <v>59</v>
      </c>
      <c r="F299" s="9">
        <v>4303</v>
      </c>
      <c r="G299" s="9">
        <v>451</v>
      </c>
      <c r="H299" s="9">
        <v>286</v>
      </c>
      <c r="I299" s="9">
        <v>86060</v>
      </c>
      <c r="J299" s="9">
        <v>85823</v>
      </c>
      <c r="K299" s="9">
        <v>14</v>
      </c>
      <c r="L299" s="2" t="s">
        <v>30</v>
      </c>
      <c r="M299" s="2" t="s">
        <v>31</v>
      </c>
    </row>
    <row r="300" spans="1:13" ht="15.75" customHeight="1" x14ac:dyDescent="0.3">
      <c r="A300" s="2" t="s">
        <v>565</v>
      </c>
      <c r="B300" s="2" t="s">
        <v>43</v>
      </c>
      <c r="C300" s="2" t="s">
        <v>77</v>
      </c>
      <c r="D300" s="2" t="s">
        <v>52</v>
      </c>
      <c r="E300" s="2" t="s">
        <v>59</v>
      </c>
      <c r="F300" s="9">
        <v>2581</v>
      </c>
      <c r="G300" s="9">
        <v>517</v>
      </c>
      <c r="H300" s="9">
        <v>117</v>
      </c>
      <c r="I300" s="9">
        <v>23229</v>
      </c>
      <c r="J300" s="9">
        <v>22331</v>
      </c>
      <c r="K300" s="9">
        <v>70</v>
      </c>
      <c r="L300" s="2" t="s">
        <v>62</v>
      </c>
      <c r="M300" s="2" t="s">
        <v>31</v>
      </c>
    </row>
    <row r="301" spans="1:13" ht="15.75" customHeight="1" x14ac:dyDescent="0.3">
      <c r="A301" s="2" t="s">
        <v>566</v>
      </c>
      <c r="B301" s="2" t="s">
        <v>14</v>
      </c>
      <c r="C301" s="2" t="s">
        <v>318</v>
      </c>
      <c r="D301" s="2" t="s">
        <v>45</v>
      </c>
      <c r="E301" s="2" t="s">
        <v>49</v>
      </c>
      <c r="F301" s="9">
        <v>4494</v>
      </c>
      <c r="G301" s="9">
        <v>717</v>
      </c>
      <c r="H301" s="9">
        <v>45</v>
      </c>
      <c r="I301" s="9">
        <v>62916</v>
      </c>
      <c r="J301" s="9">
        <v>62688</v>
      </c>
      <c r="K301" s="9">
        <v>191</v>
      </c>
      <c r="L301" s="2" t="s">
        <v>505</v>
      </c>
      <c r="M301" s="2" t="s">
        <v>19</v>
      </c>
    </row>
    <row r="302" spans="1:13" ht="15.75" customHeight="1" x14ac:dyDescent="0.3"/>
    <row r="303" spans="1:13" ht="15.75" customHeight="1" x14ac:dyDescent="0.3"/>
    <row r="304" spans="1:13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733F-9E18-4780-A0C1-10F88C2ACFBA}">
  <dimension ref="A1:O340"/>
  <sheetViews>
    <sheetView tabSelected="1" zoomScaleNormal="100" workbookViewId="0">
      <selection activeCell="B1" sqref="B1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37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20.21875" bestFit="1" customWidth="1"/>
    <col min="13" max="13" width="15.33203125" customWidth="1"/>
    <col min="14" max="14" width="17" style="4" customWidth="1"/>
    <col min="15" max="15" width="13.5546875" style="10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4" t="s">
        <v>614</v>
      </c>
      <c r="O1" s="10" t="s">
        <v>622</v>
      </c>
    </row>
    <row r="2" spans="1:15" x14ac:dyDescent="0.3">
      <c r="A2" t="s">
        <v>176</v>
      </c>
      <c r="B2" t="s">
        <v>14</v>
      </c>
      <c r="C2" s="3">
        <v>45540</v>
      </c>
      <c r="D2" t="s">
        <v>74</v>
      </c>
      <c r="E2" t="s">
        <v>145</v>
      </c>
      <c r="F2">
        <v>4886</v>
      </c>
      <c r="G2">
        <v>983</v>
      </c>
      <c r="H2">
        <v>409</v>
      </c>
      <c r="I2">
        <v>43974</v>
      </c>
      <c r="J2">
        <v>43239</v>
      </c>
      <c r="K2">
        <v>65</v>
      </c>
      <c r="L2" t="s">
        <v>30</v>
      </c>
      <c r="M2" t="s">
        <v>19</v>
      </c>
      <c r="N2" s="4">
        <f t="shared" ref="N2:N65" si="0">SUM(F:H)/I:I</f>
        <v>26.569109018965751</v>
      </c>
      <c r="O2" s="10">
        <f>SUM(Posts_2[[#This Row],[Likes]:[Comments]])</f>
        <v>6278</v>
      </c>
    </row>
    <row r="3" spans="1:15" x14ac:dyDescent="0.3">
      <c r="A3" t="s">
        <v>321</v>
      </c>
      <c r="B3" t="s">
        <v>27</v>
      </c>
      <c r="C3" s="3">
        <v>45593</v>
      </c>
      <c r="D3" t="s">
        <v>35</v>
      </c>
      <c r="E3" t="s">
        <v>154</v>
      </c>
      <c r="F3">
        <v>4929</v>
      </c>
      <c r="G3">
        <v>749</v>
      </c>
      <c r="H3">
        <v>452</v>
      </c>
      <c r="I3">
        <v>93651</v>
      </c>
      <c r="J3">
        <v>92810</v>
      </c>
      <c r="K3">
        <v>66</v>
      </c>
      <c r="L3" t="s">
        <v>37</v>
      </c>
      <c r="M3" t="s">
        <v>38</v>
      </c>
      <c r="N3" s="4">
        <f t="shared" si="0"/>
        <v>12.475574206361918</v>
      </c>
      <c r="O3" s="10">
        <f>SUM(Posts_2[[#This Row],[Likes]:[Comments]])</f>
        <v>6130</v>
      </c>
    </row>
    <row r="4" spans="1:15" x14ac:dyDescent="0.3">
      <c r="A4" t="s">
        <v>355</v>
      </c>
      <c r="B4" t="s">
        <v>27</v>
      </c>
      <c r="C4" s="3">
        <v>45715</v>
      </c>
      <c r="D4" t="s">
        <v>22</v>
      </c>
      <c r="E4" t="s">
        <v>104</v>
      </c>
      <c r="F4">
        <v>4934</v>
      </c>
      <c r="G4">
        <v>971</v>
      </c>
      <c r="H4">
        <v>156</v>
      </c>
      <c r="I4">
        <v>39472</v>
      </c>
      <c r="J4">
        <v>39025</v>
      </c>
      <c r="K4">
        <v>169</v>
      </c>
      <c r="L4" t="s">
        <v>30</v>
      </c>
      <c r="M4" t="s">
        <v>38</v>
      </c>
      <c r="N4" s="4">
        <f t="shared" si="0"/>
        <v>29.599462910417511</v>
      </c>
      <c r="O4" s="10">
        <f>SUM(Posts_2[[#This Row],[Likes]:[Comments]])</f>
        <v>6061</v>
      </c>
    </row>
    <row r="5" spans="1:15" x14ac:dyDescent="0.3">
      <c r="A5" t="s">
        <v>355</v>
      </c>
      <c r="B5" t="s">
        <v>27</v>
      </c>
      <c r="C5" s="3">
        <v>45715</v>
      </c>
      <c r="D5" t="s">
        <v>22</v>
      </c>
      <c r="E5" t="s">
        <v>104</v>
      </c>
      <c r="F5">
        <v>4934</v>
      </c>
      <c r="G5">
        <v>971</v>
      </c>
      <c r="H5">
        <v>156</v>
      </c>
      <c r="I5">
        <v>39472</v>
      </c>
      <c r="J5">
        <v>39025</v>
      </c>
      <c r="K5">
        <v>169</v>
      </c>
      <c r="L5" t="s">
        <v>612</v>
      </c>
      <c r="M5" t="s">
        <v>38</v>
      </c>
      <c r="N5" s="4">
        <f t="shared" si="0"/>
        <v>29.599462910417511</v>
      </c>
      <c r="O5" s="10">
        <f>SUM(Posts_2[[#This Row],[Likes]:[Comments]])</f>
        <v>6061</v>
      </c>
    </row>
    <row r="6" spans="1:15" x14ac:dyDescent="0.3">
      <c r="A6" t="s">
        <v>506</v>
      </c>
      <c r="B6" t="s">
        <v>33</v>
      </c>
      <c r="C6" s="3">
        <v>45592</v>
      </c>
      <c r="D6" t="s">
        <v>52</v>
      </c>
      <c r="E6" t="s">
        <v>215</v>
      </c>
      <c r="F6">
        <v>4853</v>
      </c>
      <c r="G6">
        <v>837</v>
      </c>
      <c r="H6">
        <v>340</v>
      </c>
      <c r="I6">
        <v>72795</v>
      </c>
      <c r="J6">
        <v>72237</v>
      </c>
      <c r="K6">
        <v>170</v>
      </c>
      <c r="L6" t="s">
        <v>37</v>
      </c>
      <c r="M6" t="s">
        <v>19</v>
      </c>
      <c r="N6" s="4">
        <f t="shared" si="0"/>
        <v>16.049866062229547</v>
      </c>
      <c r="O6" s="10">
        <f>SUM(Posts_2[[#This Row],[Likes]:[Comments]])</f>
        <v>6030</v>
      </c>
    </row>
    <row r="7" spans="1:15" x14ac:dyDescent="0.3">
      <c r="A7" t="s">
        <v>477</v>
      </c>
      <c r="B7" t="s">
        <v>27</v>
      </c>
      <c r="C7" s="3">
        <v>45590</v>
      </c>
      <c r="D7" t="s">
        <v>74</v>
      </c>
      <c r="E7" t="s">
        <v>219</v>
      </c>
      <c r="F7">
        <v>4661</v>
      </c>
      <c r="G7">
        <v>935</v>
      </c>
      <c r="H7">
        <v>433</v>
      </c>
      <c r="I7">
        <v>23305</v>
      </c>
      <c r="J7">
        <v>22583</v>
      </c>
      <c r="K7">
        <v>63</v>
      </c>
      <c r="L7" t="s">
        <v>62</v>
      </c>
      <c r="M7" t="s">
        <v>31</v>
      </c>
      <c r="N7" s="4">
        <f t="shared" si="0"/>
        <v>50.133018665522421</v>
      </c>
      <c r="O7" s="10">
        <f>SUM(Posts_2[[#This Row],[Likes]:[Comments]])</f>
        <v>6029</v>
      </c>
    </row>
    <row r="8" spans="1:15" x14ac:dyDescent="0.3">
      <c r="A8" t="s">
        <v>435</v>
      </c>
      <c r="B8" t="s">
        <v>43</v>
      </c>
      <c r="C8" s="3">
        <v>45783</v>
      </c>
      <c r="D8" t="s">
        <v>52</v>
      </c>
      <c r="E8" t="s">
        <v>59</v>
      </c>
      <c r="F8">
        <v>4872</v>
      </c>
      <c r="G8">
        <v>925</v>
      </c>
      <c r="H8">
        <v>176</v>
      </c>
      <c r="I8">
        <v>82824</v>
      </c>
      <c r="J8">
        <v>82543</v>
      </c>
      <c r="K8">
        <v>89</v>
      </c>
      <c r="L8" t="s">
        <v>37</v>
      </c>
      <c r="M8" t="s">
        <v>25</v>
      </c>
      <c r="N8" s="4">
        <f t="shared" si="0"/>
        <v>14.106418429440742</v>
      </c>
      <c r="O8" s="10">
        <f>SUM(Posts_2[[#This Row],[Likes]:[Comments]])</f>
        <v>5973</v>
      </c>
    </row>
    <row r="9" spans="1:15" x14ac:dyDescent="0.3">
      <c r="A9" t="s">
        <v>259</v>
      </c>
      <c r="B9" t="s">
        <v>33</v>
      </c>
      <c r="C9" s="3">
        <v>45692</v>
      </c>
      <c r="D9" t="s">
        <v>52</v>
      </c>
      <c r="E9" t="s">
        <v>215</v>
      </c>
      <c r="F9">
        <v>4619</v>
      </c>
      <c r="G9">
        <v>821</v>
      </c>
      <c r="H9">
        <v>499</v>
      </c>
      <c r="I9">
        <v>69285</v>
      </c>
      <c r="J9">
        <v>69141</v>
      </c>
      <c r="K9">
        <v>298</v>
      </c>
      <c r="L9" t="s">
        <v>30</v>
      </c>
      <c r="M9" t="s">
        <v>38</v>
      </c>
      <c r="N9" s="4">
        <f t="shared" si="0"/>
        <v>16.862957350075774</v>
      </c>
      <c r="O9" s="10">
        <f>SUM(Posts_2[[#This Row],[Likes]:[Comments]])</f>
        <v>5939</v>
      </c>
    </row>
    <row r="10" spans="1:15" x14ac:dyDescent="0.3">
      <c r="A10" t="s">
        <v>349</v>
      </c>
      <c r="B10" t="s">
        <v>14</v>
      </c>
      <c r="C10" s="3">
        <v>45707</v>
      </c>
      <c r="D10" t="s">
        <v>22</v>
      </c>
      <c r="E10" t="s">
        <v>23</v>
      </c>
      <c r="F10">
        <v>4671</v>
      </c>
      <c r="G10">
        <v>876</v>
      </c>
      <c r="H10">
        <v>366</v>
      </c>
      <c r="I10">
        <v>51381</v>
      </c>
      <c r="J10">
        <v>50565</v>
      </c>
      <c r="K10">
        <v>245</v>
      </c>
      <c r="L10" t="s">
        <v>30</v>
      </c>
      <c r="M10" t="s">
        <v>38</v>
      </c>
      <c r="N10" s="4">
        <f t="shared" si="0"/>
        <v>22.738950195597596</v>
      </c>
      <c r="O10" s="10">
        <f>SUM(Posts_2[[#This Row],[Likes]:[Comments]])</f>
        <v>5913</v>
      </c>
    </row>
    <row r="11" spans="1:15" x14ac:dyDescent="0.3">
      <c r="A11" t="s">
        <v>454</v>
      </c>
      <c r="B11" t="s">
        <v>33</v>
      </c>
      <c r="C11" s="3">
        <v>45474</v>
      </c>
      <c r="D11" t="s">
        <v>35</v>
      </c>
      <c r="E11" t="s">
        <v>36</v>
      </c>
      <c r="F11">
        <v>4808</v>
      </c>
      <c r="G11">
        <v>772</v>
      </c>
      <c r="H11">
        <v>320</v>
      </c>
      <c r="I11">
        <v>72120</v>
      </c>
      <c r="J11">
        <v>71696</v>
      </c>
      <c r="K11">
        <v>195</v>
      </c>
      <c r="L11" t="s">
        <v>37</v>
      </c>
      <c r="M11" t="s">
        <v>19</v>
      </c>
      <c r="N11" s="4">
        <f t="shared" si="0"/>
        <v>16.200083194675539</v>
      </c>
      <c r="O11" s="10">
        <f>SUM(Posts_2[[#This Row],[Likes]:[Comments]])</f>
        <v>5900</v>
      </c>
    </row>
    <row r="12" spans="1:15" x14ac:dyDescent="0.3">
      <c r="A12" t="s">
        <v>534</v>
      </c>
      <c r="B12" t="s">
        <v>27</v>
      </c>
      <c r="C12" s="3">
        <v>45537</v>
      </c>
      <c r="D12" t="s">
        <v>52</v>
      </c>
      <c r="E12" t="s">
        <v>53</v>
      </c>
      <c r="F12">
        <v>4905</v>
      </c>
      <c r="G12">
        <v>845</v>
      </c>
      <c r="H12">
        <v>129</v>
      </c>
      <c r="I12">
        <v>98100</v>
      </c>
      <c r="J12">
        <v>97772</v>
      </c>
      <c r="K12">
        <v>279</v>
      </c>
      <c r="L12" t="s">
        <v>30</v>
      </c>
      <c r="M12" t="s">
        <v>25</v>
      </c>
      <c r="N12" s="4">
        <f t="shared" si="0"/>
        <v>11.909785932721713</v>
      </c>
      <c r="O12" s="10">
        <f>SUM(Posts_2[[#This Row],[Likes]:[Comments]])</f>
        <v>5879</v>
      </c>
    </row>
    <row r="13" spans="1:15" x14ac:dyDescent="0.3">
      <c r="A13" t="s">
        <v>547</v>
      </c>
      <c r="B13" t="s">
        <v>27</v>
      </c>
      <c r="C13" s="3">
        <v>45764</v>
      </c>
      <c r="D13" t="s">
        <v>45</v>
      </c>
      <c r="E13" t="s">
        <v>68</v>
      </c>
      <c r="F13">
        <v>4780</v>
      </c>
      <c r="G13">
        <v>691</v>
      </c>
      <c r="H13">
        <v>380</v>
      </c>
      <c r="I13">
        <v>86040</v>
      </c>
      <c r="J13">
        <v>85743</v>
      </c>
      <c r="K13">
        <v>262</v>
      </c>
      <c r="L13" t="s">
        <v>62</v>
      </c>
      <c r="M13" t="s">
        <v>31</v>
      </c>
      <c r="N13" s="4">
        <f t="shared" si="0"/>
        <v>13.579149232914924</v>
      </c>
      <c r="O13" s="10">
        <f>SUM(Posts_2[[#This Row],[Likes]:[Comments]])</f>
        <v>5851</v>
      </c>
    </row>
    <row r="14" spans="1:15" x14ac:dyDescent="0.3">
      <c r="A14" t="s">
        <v>456</v>
      </c>
      <c r="B14" t="s">
        <v>33</v>
      </c>
      <c r="C14" s="3">
        <v>45476</v>
      </c>
      <c r="D14" t="s">
        <v>45</v>
      </c>
      <c r="E14" t="s">
        <v>88</v>
      </c>
      <c r="F14">
        <v>4799</v>
      </c>
      <c r="G14">
        <v>694</v>
      </c>
      <c r="H14">
        <v>289</v>
      </c>
      <c r="I14">
        <v>43191</v>
      </c>
      <c r="J14">
        <v>42228</v>
      </c>
      <c r="K14">
        <v>118</v>
      </c>
      <c r="L14" t="s">
        <v>30</v>
      </c>
      <c r="M14" t="s">
        <v>620</v>
      </c>
      <c r="N14" s="4">
        <f t="shared" si="0"/>
        <v>27.050774466902826</v>
      </c>
      <c r="O14" s="10">
        <f>SUM(Posts_2[[#This Row],[Likes]:[Comments]])</f>
        <v>5782</v>
      </c>
    </row>
    <row r="15" spans="1:15" x14ac:dyDescent="0.3">
      <c r="A15" t="s">
        <v>438</v>
      </c>
      <c r="B15" t="s">
        <v>43</v>
      </c>
      <c r="C15" s="3">
        <v>45629</v>
      </c>
      <c r="D15" t="s">
        <v>52</v>
      </c>
      <c r="E15" t="s">
        <v>59</v>
      </c>
      <c r="F15">
        <v>4606</v>
      </c>
      <c r="G15">
        <v>931</v>
      </c>
      <c r="H15">
        <v>230</v>
      </c>
      <c r="I15">
        <v>92120</v>
      </c>
      <c r="J15">
        <v>91440</v>
      </c>
      <c r="K15">
        <v>56</v>
      </c>
      <c r="L15" t="s">
        <v>30</v>
      </c>
      <c r="M15" t="s">
        <v>620</v>
      </c>
      <c r="N15" s="4">
        <f t="shared" si="0"/>
        <v>12.682913590968303</v>
      </c>
      <c r="O15" s="10">
        <f>SUM(Posts_2[[#This Row],[Likes]:[Comments]])</f>
        <v>5767</v>
      </c>
    </row>
    <row r="16" spans="1:15" x14ac:dyDescent="0.3">
      <c r="A16" t="s">
        <v>261</v>
      </c>
      <c r="B16" t="s">
        <v>27</v>
      </c>
      <c r="C16" s="3">
        <v>45464</v>
      </c>
      <c r="D16" t="s">
        <v>52</v>
      </c>
      <c r="E16" t="s">
        <v>53</v>
      </c>
      <c r="F16">
        <v>4832</v>
      </c>
      <c r="G16">
        <v>893</v>
      </c>
      <c r="H16">
        <v>10</v>
      </c>
      <c r="I16">
        <v>91808</v>
      </c>
      <c r="J16">
        <v>91296</v>
      </c>
      <c r="K16">
        <v>182</v>
      </c>
      <c r="L16" t="s">
        <v>30</v>
      </c>
      <c r="M16" t="s">
        <v>620</v>
      </c>
      <c r="N16" s="4">
        <f t="shared" si="0"/>
        <v>12.726015162077379</v>
      </c>
      <c r="O16" s="10">
        <f>SUM(Posts_2[[#This Row],[Likes]:[Comments]])</f>
        <v>5735</v>
      </c>
    </row>
    <row r="17" spans="1:15" x14ac:dyDescent="0.3">
      <c r="A17" t="s">
        <v>300</v>
      </c>
      <c r="B17" t="s">
        <v>33</v>
      </c>
      <c r="C17" s="3">
        <v>45586</v>
      </c>
      <c r="D17" t="s">
        <v>16</v>
      </c>
      <c r="E17" t="s">
        <v>82</v>
      </c>
      <c r="F17">
        <v>4840</v>
      </c>
      <c r="G17">
        <v>658</v>
      </c>
      <c r="H17">
        <v>211</v>
      </c>
      <c r="I17">
        <v>43560</v>
      </c>
      <c r="J17">
        <v>43225</v>
      </c>
      <c r="K17">
        <v>57</v>
      </c>
      <c r="L17" t="s">
        <v>62</v>
      </c>
      <c r="M17" t="s">
        <v>31</v>
      </c>
      <c r="N17" s="4">
        <f t="shared" si="0"/>
        <v>26.821625344352618</v>
      </c>
      <c r="O17" s="10">
        <f>SUM(Posts_2[[#This Row],[Likes]:[Comments]])</f>
        <v>5709</v>
      </c>
    </row>
    <row r="18" spans="1:15" x14ac:dyDescent="0.3">
      <c r="A18" t="s">
        <v>358</v>
      </c>
      <c r="B18" t="s">
        <v>33</v>
      </c>
      <c r="C18" s="3">
        <v>45624</v>
      </c>
      <c r="D18" t="s">
        <v>22</v>
      </c>
      <c r="E18" t="s">
        <v>113</v>
      </c>
      <c r="F18">
        <v>4771</v>
      </c>
      <c r="G18">
        <v>818</v>
      </c>
      <c r="H18">
        <v>56</v>
      </c>
      <c r="I18">
        <v>57252</v>
      </c>
      <c r="J18">
        <v>56378</v>
      </c>
      <c r="K18">
        <v>150</v>
      </c>
      <c r="L18" t="s">
        <v>62</v>
      </c>
      <c r="M18" t="s">
        <v>620</v>
      </c>
      <c r="N18" s="4">
        <f t="shared" si="0"/>
        <v>20.407147348564241</v>
      </c>
      <c r="O18" s="10">
        <f>SUM(Posts_2[[#This Row],[Likes]:[Comments]])</f>
        <v>5645</v>
      </c>
    </row>
    <row r="19" spans="1:15" x14ac:dyDescent="0.3">
      <c r="A19" t="s">
        <v>333</v>
      </c>
      <c r="B19" t="s">
        <v>43</v>
      </c>
      <c r="C19" s="3">
        <v>45769</v>
      </c>
      <c r="D19" t="s">
        <v>52</v>
      </c>
      <c r="E19" t="s">
        <v>59</v>
      </c>
      <c r="F19">
        <v>4804</v>
      </c>
      <c r="G19">
        <v>550</v>
      </c>
      <c r="H19">
        <v>270</v>
      </c>
      <c r="I19">
        <v>28824</v>
      </c>
      <c r="J19">
        <v>28370</v>
      </c>
      <c r="K19">
        <v>47</v>
      </c>
      <c r="L19" t="s">
        <v>37</v>
      </c>
      <c r="M19" t="s">
        <v>38</v>
      </c>
      <c r="N19" s="4">
        <f t="shared" si="0"/>
        <v>40.53393005828476</v>
      </c>
      <c r="O19" s="10">
        <f>SUM(Posts_2[[#This Row],[Likes]:[Comments]])</f>
        <v>5624</v>
      </c>
    </row>
    <row r="20" spans="1:15" x14ac:dyDescent="0.3">
      <c r="A20" t="s">
        <v>524</v>
      </c>
      <c r="B20" t="s">
        <v>33</v>
      </c>
      <c r="C20" s="3">
        <v>45743</v>
      </c>
      <c r="D20" t="s">
        <v>22</v>
      </c>
      <c r="E20" t="s">
        <v>113</v>
      </c>
      <c r="F20">
        <v>4941</v>
      </c>
      <c r="G20">
        <v>414</v>
      </c>
      <c r="H20">
        <v>266</v>
      </c>
      <c r="I20">
        <v>39528</v>
      </c>
      <c r="J20">
        <v>39154</v>
      </c>
      <c r="K20">
        <v>217</v>
      </c>
      <c r="L20" t="s">
        <v>30</v>
      </c>
      <c r="M20" t="s">
        <v>31</v>
      </c>
      <c r="N20" s="4">
        <f t="shared" si="0"/>
        <v>29.557528840315726</v>
      </c>
      <c r="O20" s="10">
        <f>SUM(Posts_2[[#This Row],[Likes]:[Comments]])</f>
        <v>5621</v>
      </c>
    </row>
    <row r="21" spans="1:15" x14ac:dyDescent="0.3">
      <c r="A21" t="s">
        <v>89</v>
      </c>
      <c r="B21" t="s">
        <v>33</v>
      </c>
      <c r="C21" s="3">
        <v>45661</v>
      </c>
      <c r="D21" t="s">
        <v>16</v>
      </c>
      <c r="E21" t="s">
        <v>82</v>
      </c>
      <c r="F21">
        <v>4838</v>
      </c>
      <c r="G21">
        <v>640</v>
      </c>
      <c r="H21">
        <v>128</v>
      </c>
      <c r="I21">
        <v>72570</v>
      </c>
      <c r="J21">
        <v>72396</v>
      </c>
      <c r="K21">
        <v>83</v>
      </c>
      <c r="L21" t="s">
        <v>62</v>
      </c>
      <c r="M21" t="s">
        <v>38</v>
      </c>
      <c r="N21" s="4">
        <f t="shared" si="0"/>
        <v>16.099627945431997</v>
      </c>
      <c r="O21" s="10">
        <f>SUM(Posts_2[[#This Row],[Likes]:[Comments]])</f>
        <v>5606</v>
      </c>
    </row>
    <row r="22" spans="1:15" x14ac:dyDescent="0.3">
      <c r="A22" t="s">
        <v>407</v>
      </c>
      <c r="B22" t="s">
        <v>14</v>
      </c>
      <c r="C22" s="3">
        <v>45587</v>
      </c>
      <c r="D22" t="s">
        <v>16</v>
      </c>
      <c r="E22" t="s">
        <v>17</v>
      </c>
      <c r="F22">
        <v>4782</v>
      </c>
      <c r="G22">
        <v>721</v>
      </c>
      <c r="H22">
        <v>82</v>
      </c>
      <c r="I22">
        <v>86076</v>
      </c>
      <c r="J22">
        <v>85339</v>
      </c>
      <c r="K22">
        <v>19</v>
      </c>
      <c r="L22" t="s">
        <v>37</v>
      </c>
      <c r="M22" t="s">
        <v>19</v>
      </c>
      <c r="N22" s="4">
        <f t="shared" si="0"/>
        <v>13.573469956782379</v>
      </c>
      <c r="O22" s="10">
        <f>SUM(Posts_2[[#This Row],[Likes]:[Comments]])</f>
        <v>5585</v>
      </c>
    </row>
    <row r="23" spans="1:15" x14ac:dyDescent="0.3">
      <c r="A23" t="s">
        <v>250</v>
      </c>
      <c r="B23" t="s">
        <v>27</v>
      </c>
      <c r="C23" s="3">
        <v>45583</v>
      </c>
      <c r="D23" t="s">
        <v>74</v>
      </c>
      <c r="E23" t="s">
        <v>219</v>
      </c>
      <c r="F23">
        <v>4450</v>
      </c>
      <c r="G23">
        <v>983</v>
      </c>
      <c r="H23">
        <v>143</v>
      </c>
      <c r="I23">
        <v>75650</v>
      </c>
      <c r="J23">
        <v>75008</v>
      </c>
      <c r="K23">
        <v>12</v>
      </c>
      <c r="L23" t="s">
        <v>62</v>
      </c>
      <c r="M23" t="s">
        <v>31</v>
      </c>
      <c r="N23" s="4">
        <f t="shared" si="0"/>
        <v>15.44415069398546</v>
      </c>
      <c r="O23" s="10">
        <f>SUM(Posts_2[[#This Row],[Likes]:[Comments]])</f>
        <v>5576</v>
      </c>
    </row>
    <row r="24" spans="1:15" x14ac:dyDescent="0.3">
      <c r="A24" t="s">
        <v>397</v>
      </c>
      <c r="B24" t="s">
        <v>27</v>
      </c>
      <c r="C24" s="3">
        <v>45629</v>
      </c>
      <c r="D24" t="s">
        <v>35</v>
      </c>
      <c r="E24" t="s">
        <v>154</v>
      </c>
      <c r="F24">
        <v>4285</v>
      </c>
      <c r="G24">
        <v>886</v>
      </c>
      <c r="H24">
        <v>376</v>
      </c>
      <c r="I24">
        <v>55705</v>
      </c>
      <c r="J24">
        <v>55556</v>
      </c>
      <c r="K24">
        <v>51</v>
      </c>
      <c r="L24" t="s">
        <v>62</v>
      </c>
      <c r="M24" t="s">
        <v>31</v>
      </c>
      <c r="N24" s="4">
        <f t="shared" si="0"/>
        <v>20.973880262094966</v>
      </c>
      <c r="O24" s="10">
        <f>SUM(Posts_2[[#This Row],[Likes]:[Comments]])</f>
        <v>5547</v>
      </c>
    </row>
    <row r="25" spans="1:15" x14ac:dyDescent="0.3">
      <c r="A25" t="s">
        <v>532</v>
      </c>
      <c r="B25" t="s">
        <v>14</v>
      </c>
      <c r="C25" s="3">
        <v>45622</v>
      </c>
      <c r="D25" t="s">
        <v>22</v>
      </c>
      <c r="E25" t="s">
        <v>23</v>
      </c>
      <c r="F25">
        <v>4516</v>
      </c>
      <c r="G25">
        <v>836</v>
      </c>
      <c r="H25">
        <v>169</v>
      </c>
      <c r="I25">
        <v>49676</v>
      </c>
      <c r="J25">
        <v>49257</v>
      </c>
      <c r="K25">
        <v>282</v>
      </c>
      <c r="L25" t="s">
        <v>37</v>
      </c>
      <c r="M25" t="s">
        <v>38</v>
      </c>
      <c r="N25" s="4">
        <f t="shared" si="0"/>
        <v>23.519405749255174</v>
      </c>
      <c r="O25" s="10">
        <f>SUM(Posts_2[[#This Row],[Likes]:[Comments]])</f>
        <v>5521</v>
      </c>
    </row>
    <row r="26" spans="1:15" x14ac:dyDescent="0.3">
      <c r="A26" t="s">
        <v>468</v>
      </c>
      <c r="B26" t="s">
        <v>14</v>
      </c>
      <c r="C26" s="3">
        <v>45489</v>
      </c>
      <c r="D26" t="s">
        <v>22</v>
      </c>
      <c r="E26" t="s">
        <v>23</v>
      </c>
      <c r="F26">
        <v>4725</v>
      </c>
      <c r="G26">
        <v>400</v>
      </c>
      <c r="H26">
        <v>362</v>
      </c>
      <c r="I26">
        <v>75600</v>
      </c>
      <c r="J26">
        <v>74927</v>
      </c>
      <c r="K26">
        <v>43</v>
      </c>
      <c r="L26" t="s">
        <v>62</v>
      </c>
      <c r="M26" t="s">
        <v>38</v>
      </c>
      <c r="N26" s="4">
        <f t="shared" si="0"/>
        <v>15.454365079365079</v>
      </c>
      <c r="O26" s="10">
        <f>SUM(Posts_2[[#This Row],[Likes]:[Comments]])</f>
        <v>5487</v>
      </c>
    </row>
    <row r="27" spans="1:15" x14ac:dyDescent="0.3">
      <c r="A27" t="s">
        <v>330</v>
      </c>
      <c r="B27" t="s">
        <v>27</v>
      </c>
      <c r="C27" s="3">
        <v>45526</v>
      </c>
      <c r="D27" t="s">
        <v>45</v>
      </c>
      <c r="E27" t="s">
        <v>68</v>
      </c>
      <c r="F27">
        <v>4295</v>
      </c>
      <c r="G27">
        <v>853</v>
      </c>
      <c r="H27">
        <v>325</v>
      </c>
      <c r="I27">
        <v>85900</v>
      </c>
      <c r="J27">
        <v>85788</v>
      </c>
      <c r="K27">
        <v>290</v>
      </c>
      <c r="L27" t="s">
        <v>30</v>
      </c>
      <c r="M27" t="s">
        <v>38</v>
      </c>
      <c r="N27" s="4">
        <f t="shared" si="0"/>
        <v>13.60128055878929</v>
      </c>
      <c r="O27" s="10">
        <f>SUM(Posts_2[[#This Row],[Likes]:[Comments]])</f>
        <v>5473</v>
      </c>
    </row>
    <row r="28" spans="1:15" x14ac:dyDescent="0.3">
      <c r="A28" t="s">
        <v>283</v>
      </c>
      <c r="B28" t="s">
        <v>43</v>
      </c>
      <c r="C28" s="3">
        <v>45600</v>
      </c>
      <c r="D28" t="s">
        <v>52</v>
      </c>
      <c r="E28" t="s">
        <v>59</v>
      </c>
      <c r="F28">
        <v>4551</v>
      </c>
      <c r="G28">
        <v>714</v>
      </c>
      <c r="H28">
        <v>207</v>
      </c>
      <c r="I28">
        <v>68265</v>
      </c>
      <c r="J28">
        <v>67754</v>
      </c>
      <c r="K28">
        <v>57</v>
      </c>
      <c r="L28" t="s">
        <v>62</v>
      </c>
      <c r="M28" t="s">
        <v>31</v>
      </c>
      <c r="N28" s="4">
        <f t="shared" si="0"/>
        <v>17.114919797846628</v>
      </c>
      <c r="O28" s="10">
        <f>SUM(Posts_2[[#This Row],[Likes]:[Comments]])</f>
        <v>5472</v>
      </c>
    </row>
    <row r="29" spans="1:15" x14ac:dyDescent="0.3">
      <c r="A29" t="s">
        <v>187</v>
      </c>
      <c r="B29" t="s">
        <v>43</v>
      </c>
      <c r="C29" s="3">
        <v>45745</v>
      </c>
      <c r="D29" t="s">
        <v>45</v>
      </c>
      <c r="E29" t="s">
        <v>46</v>
      </c>
      <c r="F29">
        <v>4712</v>
      </c>
      <c r="G29">
        <v>568</v>
      </c>
      <c r="H29">
        <v>127</v>
      </c>
      <c r="I29">
        <v>84816</v>
      </c>
      <c r="J29">
        <v>84691</v>
      </c>
      <c r="K29">
        <v>100</v>
      </c>
      <c r="L29" t="s">
        <v>37</v>
      </c>
      <c r="M29" t="s">
        <v>31</v>
      </c>
      <c r="N29" s="4">
        <f t="shared" si="0"/>
        <v>13.775113186191284</v>
      </c>
      <c r="O29" s="10">
        <f>SUM(Posts_2[[#This Row],[Likes]:[Comments]])</f>
        <v>5407</v>
      </c>
    </row>
    <row r="30" spans="1:15" x14ac:dyDescent="0.3">
      <c r="A30" t="s">
        <v>243</v>
      </c>
      <c r="B30" t="s">
        <v>33</v>
      </c>
      <c r="C30" s="3">
        <v>45517</v>
      </c>
      <c r="D30" t="s">
        <v>52</v>
      </c>
      <c r="E30" t="s">
        <v>215</v>
      </c>
      <c r="F30">
        <v>4739</v>
      </c>
      <c r="G30">
        <v>527</v>
      </c>
      <c r="H30">
        <v>135</v>
      </c>
      <c r="I30">
        <v>61607</v>
      </c>
      <c r="J30">
        <v>61333</v>
      </c>
      <c r="K30">
        <v>36</v>
      </c>
      <c r="L30" t="s">
        <v>30</v>
      </c>
      <c r="M30" t="s">
        <v>25</v>
      </c>
      <c r="N30" s="4">
        <f t="shared" si="0"/>
        <v>18.964565714934992</v>
      </c>
      <c r="O30" s="10">
        <f>SUM(Posts_2[[#This Row],[Likes]:[Comments]])</f>
        <v>5401</v>
      </c>
    </row>
    <row r="31" spans="1:15" x14ac:dyDescent="0.3">
      <c r="A31" t="s">
        <v>243</v>
      </c>
      <c r="B31" t="s">
        <v>33</v>
      </c>
      <c r="C31" s="3">
        <v>45517</v>
      </c>
      <c r="D31" t="s">
        <v>52</v>
      </c>
      <c r="E31" t="s">
        <v>215</v>
      </c>
      <c r="F31">
        <v>4739</v>
      </c>
      <c r="G31">
        <v>527</v>
      </c>
      <c r="H31">
        <v>135</v>
      </c>
      <c r="I31">
        <v>61607</v>
      </c>
      <c r="J31">
        <v>61333</v>
      </c>
      <c r="K31">
        <v>36</v>
      </c>
      <c r="L31" t="s">
        <v>612</v>
      </c>
      <c r="M31" t="s">
        <v>25</v>
      </c>
      <c r="N31" s="4">
        <f t="shared" si="0"/>
        <v>18.964565714934992</v>
      </c>
      <c r="O31" s="10">
        <f>SUM(Posts_2[[#This Row],[Likes]:[Comments]])</f>
        <v>5401</v>
      </c>
    </row>
    <row r="32" spans="1:15" x14ac:dyDescent="0.3">
      <c r="A32" t="s">
        <v>472</v>
      </c>
      <c r="B32" t="s">
        <v>43</v>
      </c>
      <c r="C32" s="3">
        <v>45675</v>
      </c>
      <c r="D32" t="s">
        <v>35</v>
      </c>
      <c r="E32" t="s">
        <v>71</v>
      </c>
      <c r="F32">
        <v>4321</v>
      </c>
      <c r="G32">
        <v>874</v>
      </c>
      <c r="H32">
        <v>172</v>
      </c>
      <c r="I32">
        <v>30247</v>
      </c>
      <c r="J32">
        <v>29254</v>
      </c>
      <c r="K32">
        <v>122</v>
      </c>
      <c r="L32" t="s">
        <v>30</v>
      </c>
      <c r="M32" t="s">
        <v>38</v>
      </c>
      <c r="N32" s="4">
        <f t="shared" si="0"/>
        <v>38.626971269878005</v>
      </c>
      <c r="O32" s="10">
        <f>SUM(Posts_2[[#This Row],[Likes]:[Comments]])</f>
        <v>5367</v>
      </c>
    </row>
    <row r="33" spans="1:15" x14ac:dyDescent="0.3">
      <c r="A33" t="s">
        <v>535</v>
      </c>
      <c r="B33" t="s">
        <v>27</v>
      </c>
      <c r="C33" s="3">
        <v>45586</v>
      </c>
      <c r="D33" t="s">
        <v>74</v>
      </c>
      <c r="E33" t="s">
        <v>219</v>
      </c>
      <c r="F33">
        <v>4275</v>
      </c>
      <c r="G33">
        <v>680</v>
      </c>
      <c r="H33">
        <v>385</v>
      </c>
      <c r="I33">
        <v>64125</v>
      </c>
      <c r="J33">
        <v>63650</v>
      </c>
      <c r="K33">
        <v>104</v>
      </c>
      <c r="L33" t="s">
        <v>37</v>
      </c>
      <c r="M33" t="s">
        <v>38</v>
      </c>
      <c r="N33" s="4">
        <f t="shared" si="0"/>
        <v>18.219883040935674</v>
      </c>
      <c r="O33" s="10">
        <f>SUM(Posts_2[[#This Row],[Likes]:[Comments]])</f>
        <v>5340</v>
      </c>
    </row>
    <row r="34" spans="1:15" x14ac:dyDescent="0.3">
      <c r="A34" t="s">
        <v>535</v>
      </c>
      <c r="B34" t="s">
        <v>27</v>
      </c>
      <c r="C34" s="3">
        <v>45586</v>
      </c>
      <c r="D34" t="s">
        <v>74</v>
      </c>
      <c r="E34" t="s">
        <v>219</v>
      </c>
      <c r="F34">
        <v>4275</v>
      </c>
      <c r="G34">
        <v>680</v>
      </c>
      <c r="H34">
        <v>385</v>
      </c>
      <c r="I34">
        <v>64125</v>
      </c>
      <c r="J34">
        <v>63650</v>
      </c>
      <c r="K34">
        <v>104</v>
      </c>
      <c r="L34" t="s">
        <v>30</v>
      </c>
      <c r="M34" t="s">
        <v>38</v>
      </c>
      <c r="N34" s="4">
        <f t="shared" si="0"/>
        <v>18.219883040935674</v>
      </c>
      <c r="O34" s="10">
        <f>SUM(Posts_2[[#This Row],[Likes]:[Comments]])</f>
        <v>5340</v>
      </c>
    </row>
    <row r="35" spans="1:15" x14ac:dyDescent="0.3">
      <c r="A35" t="s">
        <v>535</v>
      </c>
      <c r="B35" t="s">
        <v>27</v>
      </c>
      <c r="C35" s="3">
        <v>45586</v>
      </c>
      <c r="D35" t="s">
        <v>74</v>
      </c>
      <c r="E35" t="s">
        <v>219</v>
      </c>
      <c r="F35">
        <v>4275</v>
      </c>
      <c r="G35">
        <v>680</v>
      </c>
      <c r="H35">
        <v>385</v>
      </c>
      <c r="I35">
        <v>64125</v>
      </c>
      <c r="J35">
        <v>63650</v>
      </c>
      <c r="K35">
        <v>104</v>
      </c>
      <c r="L35" t="s">
        <v>612</v>
      </c>
      <c r="M35" t="s">
        <v>38</v>
      </c>
      <c r="N35" s="4">
        <f t="shared" si="0"/>
        <v>18.219883040935674</v>
      </c>
      <c r="O35" s="10">
        <f>SUM(Posts_2[[#This Row],[Likes]:[Comments]])</f>
        <v>5340</v>
      </c>
    </row>
    <row r="36" spans="1:15" x14ac:dyDescent="0.3">
      <c r="A36" t="s">
        <v>503</v>
      </c>
      <c r="B36" t="s">
        <v>33</v>
      </c>
      <c r="C36" s="3">
        <v>45700</v>
      </c>
      <c r="D36" t="s">
        <v>35</v>
      </c>
      <c r="E36" t="s">
        <v>36</v>
      </c>
      <c r="F36">
        <v>4332</v>
      </c>
      <c r="G36">
        <v>771</v>
      </c>
      <c r="H36">
        <v>219</v>
      </c>
      <c r="I36">
        <v>60648</v>
      </c>
      <c r="J36">
        <v>60397</v>
      </c>
      <c r="K36">
        <v>10</v>
      </c>
      <c r="L36" t="s">
        <v>30</v>
      </c>
      <c r="M36" t="s">
        <v>31</v>
      </c>
      <c r="N36" s="4">
        <f t="shared" si="0"/>
        <v>19.264444004748714</v>
      </c>
      <c r="O36" s="10">
        <f>SUM(Posts_2[[#This Row],[Likes]:[Comments]])</f>
        <v>5322</v>
      </c>
    </row>
    <row r="37" spans="1:15" x14ac:dyDescent="0.3">
      <c r="A37" t="s">
        <v>503</v>
      </c>
      <c r="B37" t="s">
        <v>33</v>
      </c>
      <c r="C37" s="3">
        <v>45700</v>
      </c>
      <c r="D37" t="s">
        <v>35</v>
      </c>
      <c r="E37" t="s">
        <v>36</v>
      </c>
      <c r="F37">
        <v>4332</v>
      </c>
      <c r="G37">
        <v>771</v>
      </c>
      <c r="H37">
        <v>219</v>
      </c>
      <c r="I37">
        <v>60648</v>
      </c>
      <c r="J37">
        <v>60397</v>
      </c>
      <c r="K37">
        <v>10</v>
      </c>
      <c r="L37" t="s">
        <v>37</v>
      </c>
      <c r="M37" t="s">
        <v>31</v>
      </c>
      <c r="N37" s="4">
        <f t="shared" si="0"/>
        <v>19.264444004748714</v>
      </c>
      <c r="O37" s="10">
        <f>SUM(Posts_2[[#This Row],[Likes]:[Comments]])</f>
        <v>5322</v>
      </c>
    </row>
    <row r="38" spans="1:15" x14ac:dyDescent="0.3">
      <c r="A38" t="s">
        <v>503</v>
      </c>
      <c r="B38" t="s">
        <v>33</v>
      </c>
      <c r="C38" s="3">
        <v>45700</v>
      </c>
      <c r="D38" t="s">
        <v>35</v>
      </c>
      <c r="E38" t="s">
        <v>36</v>
      </c>
      <c r="F38">
        <v>4332</v>
      </c>
      <c r="G38">
        <v>771</v>
      </c>
      <c r="H38">
        <v>219</v>
      </c>
      <c r="I38">
        <v>60648</v>
      </c>
      <c r="J38">
        <v>60397</v>
      </c>
      <c r="K38">
        <v>10</v>
      </c>
      <c r="L38" t="s">
        <v>613</v>
      </c>
      <c r="M38" t="s">
        <v>31</v>
      </c>
      <c r="N38" s="4">
        <f t="shared" si="0"/>
        <v>19.264444004748714</v>
      </c>
      <c r="O38" s="10">
        <f>SUM(Posts_2[[#This Row],[Likes]:[Comments]])</f>
        <v>5322</v>
      </c>
    </row>
    <row r="39" spans="1:15" x14ac:dyDescent="0.3">
      <c r="A39" t="s">
        <v>130</v>
      </c>
      <c r="B39" t="s">
        <v>14</v>
      </c>
      <c r="C39" s="3">
        <v>45723</v>
      </c>
      <c r="D39" t="s">
        <v>52</v>
      </c>
      <c r="E39" t="s">
        <v>132</v>
      </c>
      <c r="F39">
        <v>4750</v>
      </c>
      <c r="G39">
        <v>151</v>
      </c>
      <c r="H39">
        <v>415</v>
      </c>
      <c r="I39">
        <v>38000</v>
      </c>
      <c r="J39">
        <v>37792</v>
      </c>
      <c r="K39">
        <v>299</v>
      </c>
      <c r="L39" t="s">
        <v>37</v>
      </c>
      <c r="M39" t="s">
        <v>38</v>
      </c>
      <c r="N39" s="4">
        <f t="shared" si="0"/>
        <v>30.746052631578948</v>
      </c>
      <c r="O39" s="10">
        <f>SUM(Posts_2[[#This Row],[Likes]:[Comments]])</f>
        <v>5316</v>
      </c>
    </row>
    <row r="40" spans="1:15" x14ac:dyDescent="0.3">
      <c r="A40" t="s">
        <v>400</v>
      </c>
      <c r="B40" t="s">
        <v>14</v>
      </c>
      <c r="C40" s="3">
        <v>45546</v>
      </c>
      <c r="D40" t="s">
        <v>52</v>
      </c>
      <c r="E40" t="s">
        <v>132</v>
      </c>
      <c r="F40">
        <v>4858</v>
      </c>
      <c r="G40">
        <v>317</v>
      </c>
      <c r="H40">
        <v>129</v>
      </c>
      <c r="I40">
        <v>53438</v>
      </c>
      <c r="J40">
        <v>52687</v>
      </c>
      <c r="K40">
        <v>223</v>
      </c>
      <c r="L40" t="s">
        <v>37</v>
      </c>
      <c r="M40" t="s">
        <v>31</v>
      </c>
      <c r="N40" s="4">
        <f t="shared" si="0"/>
        <v>21.863655076911559</v>
      </c>
      <c r="O40" s="10">
        <f>SUM(Posts_2[[#This Row],[Likes]:[Comments]])</f>
        <v>5304</v>
      </c>
    </row>
    <row r="41" spans="1:15" x14ac:dyDescent="0.3">
      <c r="A41" t="s">
        <v>474</v>
      </c>
      <c r="B41" t="s">
        <v>43</v>
      </c>
      <c r="C41" s="3">
        <v>45480</v>
      </c>
      <c r="D41" t="s">
        <v>16</v>
      </c>
      <c r="E41" t="s">
        <v>65</v>
      </c>
      <c r="F41">
        <v>4767</v>
      </c>
      <c r="G41">
        <v>190</v>
      </c>
      <c r="H41">
        <v>340</v>
      </c>
      <c r="I41">
        <v>28602</v>
      </c>
      <c r="J41">
        <v>28044</v>
      </c>
      <c r="K41">
        <v>210</v>
      </c>
      <c r="L41" t="s">
        <v>37</v>
      </c>
      <c r="M41" t="s">
        <v>31</v>
      </c>
      <c r="N41" s="4">
        <f t="shared" si="0"/>
        <v>40.848542059995808</v>
      </c>
      <c r="O41" s="10">
        <f>SUM(Posts_2[[#This Row],[Likes]:[Comments]])</f>
        <v>5297</v>
      </c>
    </row>
    <row r="42" spans="1:15" x14ac:dyDescent="0.3">
      <c r="A42" t="s">
        <v>263</v>
      </c>
      <c r="B42" t="s">
        <v>14</v>
      </c>
      <c r="C42" s="3">
        <v>45741</v>
      </c>
      <c r="D42" t="s">
        <v>74</v>
      </c>
      <c r="E42" t="s">
        <v>145</v>
      </c>
      <c r="F42">
        <v>4050</v>
      </c>
      <c r="G42">
        <v>871</v>
      </c>
      <c r="H42">
        <v>347</v>
      </c>
      <c r="I42">
        <v>52650</v>
      </c>
      <c r="J42">
        <v>51755</v>
      </c>
      <c r="K42">
        <v>209</v>
      </c>
      <c r="L42" t="s">
        <v>30</v>
      </c>
      <c r="M42" t="s">
        <v>25</v>
      </c>
      <c r="N42" s="4">
        <f t="shared" si="0"/>
        <v>22.190883190883191</v>
      </c>
      <c r="O42" s="10">
        <f>SUM(Posts_2[[#This Row],[Likes]:[Comments]])</f>
        <v>5268</v>
      </c>
    </row>
    <row r="43" spans="1:15" x14ac:dyDescent="0.3">
      <c r="A43" t="s">
        <v>566</v>
      </c>
      <c r="B43" t="s">
        <v>14</v>
      </c>
      <c r="C43" s="3">
        <v>45535</v>
      </c>
      <c r="D43" t="s">
        <v>45</v>
      </c>
      <c r="E43" t="s">
        <v>49</v>
      </c>
      <c r="F43">
        <v>4494</v>
      </c>
      <c r="G43">
        <v>717</v>
      </c>
      <c r="H43">
        <v>45</v>
      </c>
      <c r="I43">
        <v>62916</v>
      </c>
      <c r="J43">
        <v>62688</v>
      </c>
      <c r="K43">
        <v>191</v>
      </c>
      <c r="L43" t="s">
        <v>30</v>
      </c>
      <c r="M43" t="s">
        <v>19</v>
      </c>
      <c r="N43" s="4">
        <f t="shared" si="0"/>
        <v>18.569998092695023</v>
      </c>
      <c r="O43" s="10">
        <f>SUM(Posts_2[[#This Row],[Likes]:[Comments]])</f>
        <v>5256</v>
      </c>
    </row>
    <row r="44" spans="1:15" x14ac:dyDescent="0.3">
      <c r="A44" t="s">
        <v>566</v>
      </c>
      <c r="B44" t="s">
        <v>14</v>
      </c>
      <c r="C44" s="3">
        <v>45535</v>
      </c>
      <c r="D44" t="s">
        <v>45</v>
      </c>
      <c r="E44" t="s">
        <v>49</v>
      </c>
      <c r="F44">
        <v>4494</v>
      </c>
      <c r="G44">
        <v>717</v>
      </c>
      <c r="H44">
        <v>45</v>
      </c>
      <c r="I44">
        <v>62916</v>
      </c>
      <c r="J44">
        <v>62688</v>
      </c>
      <c r="K44">
        <v>191</v>
      </c>
      <c r="L44" t="s">
        <v>37</v>
      </c>
      <c r="M44" t="s">
        <v>19</v>
      </c>
      <c r="N44" s="4">
        <f t="shared" si="0"/>
        <v>18.569998092695023</v>
      </c>
      <c r="O44" s="10">
        <f>SUM(Posts_2[[#This Row],[Likes]:[Comments]])</f>
        <v>5256</v>
      </c>
    </row>
    <row r="45" spans="1:15" x14ac:dyDescent="0.3">
      <c r="A45" t="s">
        <v>566</v>
      </c>
      <c r="B45" t="s">
        <v>14</v>
      </c>
      <c r="C45" s="3">
        <v>45535</v>
      </c>
      <c r="D45" t="s">
        <v>45</v>
      </c>
      <c r="E45" t="s">
        <v>49</v>
      </c>
      <c r="F45">
        <v>4494</v>
      </c>
      <c r="G45">
        <v>717</v>
      </c>
      <c r="H45">
        <v>45</v>
      </c>
      <c r="I45">
        <v>62916</v>
      </c>
      <c r="J45">
        <v>62688</v>
      </c>
      <c r="K45">
        <v>191</v>
      </c>
      <c r="L45" t="s">
        <v>613</v>
      </c>
      <c r="M45" t="s">
        <v>19</v>
      </c>
      <c r="N45" s="4">
        <f t="shared" si="0"/>
        <v>18.569998092695023</v>
      </c>
      <c r="O45" s="10">
        <f>SUM(Posts_2[[#This Row],[Likes]:[Comments]])</f>
        <v>5256</v>
      </c>
    </row>
    <row r="46" spans="1:15" x14ac:dyDescent="0.3">
      <c r="A46" t="s">
        <v>470</v>
      </c>
      <c r="B46" t="s">
        <v>27</v>
      </c>
      <c r="C46" s="3">
        <v>45712</v>
      </c>
      <c r="D46" t="s">
        <v>22</v>
      </c>
      <c r="E46" t="s">
        <v>104</v>
      </c>
      <c r="F46">
        <v>4188</v>
      </c>
      <c r="G46">
        <v>942</v>
      </c>
      <c r="H46">
        <v>118</v>
      </c>
      <c r="I46">
        <v>20940</v>
      </c>
      <c r="J46">
        <v>20471</v>
      </c>
      <c r="K46">
        <v>102</v>
      </c>
      <c r="L46" t="s">
        <v>62</v>
      </c>
      <c r="M46" t="s">
        <v>620</v>
      </c>
      <c r="N46" s="4">
        <f t="shared" si="0"/>
        <v>55.795128939828082</v>
      </c>
      <c r="O46" s="10">
        <f>SUM(Posts_2[[#This Row],[Likes]:[Comments]])</f>
        <v>5248</v>
      </c>
    </row>
    <row r="47" spans="1:15" x14ac:dyDescent="0.3">
      <c r="A47" t="s">
        <v>531</v>
      </c>
      <c r="B47" t="s">
        <v>43</v>
      </c>
      <c r="C47" s="3">
        <v>45753</v>
      </c>
      <c r="D47" t="s">
        <v>52</v>
      </c>
      <c r="E47" t="s">
        <v>59</v>
      </c>
      <c r="F47">
        <v>4236</v>
      </c>
      <c r="G47">
        <v>711</v>
      </c>
      <c r="H47">
        <v>298</v>
      </c>
      <c r="I47">
        <v>21180</v>
      </c>
      <c r="J47">
        <v>20516</v>
      </c>
      <c r="K47">
        <v>238</v>
      </c>
      <c r="L47" t="s">
        <v>62</v>
      </c>
      <c r="M47" t="s">
        <v>19</v>
      </c>
      <c r="N47" s="4">
        <f t="shared" si="0"/>
        <v>55.1628895184136</v>
      </c>
      <c r="O47" s="10">
        <f>SUM(Posts_2[[#This Row],[Likes]:[Comments]])</f>
        <v>5245</v>
      </c>
    </row>
    <row r="48" spans="1:15" x14ac:dyDescent="0.3">
      <c r="A48" t="s">
        <v>383</v>
      </c>
      <c r="B48" t="s">
        <v>43</v>
      </c>
      <c r="C48" s="3">
        <v>45504</v>
      </c>
      <c r="D48" t="s">
        <v>52</v>
      </c>
      <c r="E48" t="s">
        <v>59</v>
      </c>
      <c r="F48">
        <v>4689</v>
      </c>
      <c r="G48">
        <v>134</v>
      </c>
      <c r="H48">
        <v>403</v>
      </c>
      <c r="I48">
        <v>51579</v>
      </c>
      <c r="J48">
        <v>50924</v>
      </c>
      <c r="K48">
        <v>173</v>
      </c>
      <c r="L48" t="s">
        <v>30</v>
      </c>
      <c r="M48" t="s">
        <v>38</v>
      </c>
      <c r="N48" s="4">
        <f t="shared" si="0"/>
        <v>22.65166055953004</v>
      </c>
      <c r="O48" s="10">
        <f>SUM(Posts_2[[#This Row],[Likes]:[Comments]])</f>
        <v>5226</v>
      </c>
    </row>
    <row r="49" spans="1:15" x14ac:dyDescent="0.3">
      <c r="A49" t="s">
        <v>353</v>
      </c>
      <c r="B49" t="s">
        <v>33</v>
      </c>
      <c r="C49" s="3">
        <v>45755</v>
      </c>
      <c r="D49" t="s">
        <v>52</v>
      </c>
      <c r="E49" t="s">
        <v>215</v>
      </c>
      <c r="F49">
        <v>4501</v>
      </c>
      <c r="G49">
        <v>375</v>
      </c>
      <c r="H49">
        <v>323</v>
      </c>
      <c r="I49">
        <v>22505</v>
      </c>
      <c r="J49">
        <v>21836</v>
      </c>
      <c r="K49">
        <v>132</v>
      </c>
      <c r="L49" t="s">
        <v>30</v>
      </c>
      <c r="M49" t="s">
        <v>25</v>
      </c>
      <c r="N49" s="4">
        <f t="shared" si="0"/>
        <v>51.91512997111753</v>
      </c>
      <c r="O49" s="10">
        <f>SUM(Posts_2[[#This Row],[Likes]:[Comments]])</f>
        <v>5199</v>
      </c>
    </row>
    <row r="50" spans="1:15" x14ac:dyDescent="0.3">
      <c r="A50" t="s">
        <v>57</v>
      </c>
      <c r="B50" t="s">
        <v>43</v>
      </c>
      <c r="C50" s="3">
        <v>45727</v>
      </c>
      <c r="D50" t="s">
        <v>52</v>
      </c>
      <c r="E50" t="s">
        <v>59</v>
      </c>
      <c r="F50">
        <v>4241</v>
      </c>
      <c r="G50">
        <v>902</v>
      </c>
      <c r="H50">
        <v>47</v>
      </c>
      <c r="I50">
        <v>72097</v>
      </c>
      <c r="J50">
        <v>71598</v>
      </c>
      <c r="K50">
        <v>167</v>
      </c>
      <c r="L50" t="s">
        <v>30</v>
      </c>
      <c r="M50" t="s">
        <v>25</v>
      </c>
      <c r="N50" s="4">
        <f t="shared" si="0"/>
        <v>16.205251258720889</v>
      </c>
      <c r="O50" s="10">
        <f>SUM(Posts_2[[#This Row],[Likes]:[Comments]])</f>
        <v>5190</v>
      </c>
    </row>
    <row r="51" spans="1:15" x14ac:dyDescent="0.3">
      <c r="A51" t="s">
        <v>122</v>
      </c>
      <c r="B51" t="s">
        <v>33</v>
      </c>
      <c r="C51" s="3">
        <v>45766</v>
      </c>
      <c r="D51" t="s">
        <v>35</v>
      </c>
      <c r="E51" t="s">
        <v>36</v>
      </c>
      <c r="F51">
        <v>4518</v>
      </c>
      <c r="G51">
        <v>285</v>
      </c>
      <c r="H51">
        <v>383</v>
      </c>
      <c r="I51">
        <v>67770</v>
      </c>
      <c r="J51">
        <v>67621</v>
      </c>
      <c r="K51">
        <v>31</v>
      </c>
      <c r="L51" t="s">
        <v>37</v>
      </c>
      <c r="M51" t="s">
        <v>25</v>
      </c>
      <c r="N51" s="4">
        <f t="shared" si="0"/>
        <v>17.239929172200089</v>
      </c>
      <c r="O51" s="10">
        <f>SUM(Posts_2[[#This Row],[Likes]:[Comments]])</f>
        <v>5186</v>
      </c>
    </row>
    <row r="52" spans="1:15" x14ac:dyDescent="0.3">
      <c r="A52" t="s">
        <v>557</v>
      </c>
      <c r="B52" t="s">
        <v>43</v>
      </c>
      <c r="C52" s="3">
        <v>45462</v>
      </c>
      <c r="D52" t="s">
        <v>45</v>
      </c>
      <c r="E52" t="s">
        <v>46</v>
      </c>
      <c r="F52">
        <v>4731</v>
      </c>
      <c r="G52">
        <v>173</v>
      </c>
      <c r="H52">
        <v>276</v>
      </c>
      <c r="I52">
        <v>28386</v>
      </c>
      <c r="J52">
        <v>28185</v>
      </c>
      <c r="K52">
        <v>89</v>
      </c>
      <c r="L52" t="s">
        <v>37</v>
      </c>
      <c r="M52" t="s">
        <v>31</v>
      </c>
      <c r="N52" s="4">
        <f t="shared" si="0"/>
        <v>41.159374339463113</v>
      </c>
      <c r="O52" s="10">
        <f>SUM(Posts_2[[#This Row],[Likes]:[Comments]])</f>
        <v>5180</v>
      </c>
    </row>
    <row r="53" spans="1:15" x14ac:dyDescent="0.3">
      <c r="A53" t="s">
        <v>275</v>
      </c>
      <c r="B53" t="s">
        <v>14</v>
      </c>
      <c r="C53" s="3">
        <v>45610</v>
      </c>
      <c r="D53" t="s">
        <v>35</v>
      </c>
      <c r="E53" t="s">
        <v>149</v>
      </c>
      <c r="F53">
        <v>4000</v>
      </c>
      <c r="G53">
        <v>689</v>
      </c>
      <c r="H53">
        <v>488</v>
      </c>
      <c r="I53">
        <v>40000</v>
      </c>
      <c r="J53">
        <v>39569</v>
      </c>
      <c r="K53">
        <v>44</v>
      </c>
      <c r="L53" t="s">
        <v>62</v>
      </c>
      <c r="M53" t="s">
        <v>19</v>
      </c>
      <c r="N53" s="4">
        <f t="shared" si="0"/>
        <v>29.208749999999998</v>
      </c>
      <c r="O53" s="10">
        <f>SUM(Posts_2[[#This Row],[Likes]:[Comments]])</f>
        <v>5177</v>
      </c>
    </row>
    <row r="54" spans="1:15" x14ac:dyDescent="0.3">
      <c r="A54" t="s">
        <v>235</v>
      </c>
      <c r="B54" t="s">
        <v>14</v>
      </c>
      <c r="C54" s="3">
        <v>45586</v>
      </c>
      <c r="D54" t="s">
        <v>35</v>
      </c>
      <c r="E54" t="s">
        <v>149</v>
      </c>
      <c r="F54">
        <v>3801</v>
      </c>
      <c r="G54">
        <v>967</v>
      </c>
      <c r="H54">
        <v>401</v>
      </c>
      <c r="I54">
        <v>38010</v>
      </c>
      <c r="J54">
        <v>37625</v>
      </c>
      <c r="K54">
        <v>236</v>
      </c>
      <c r="L54" t="s">
        <v>62</v>
      </c>
      <c r="M54" t="s">
        <v>31</v>
      </c>
      <c r="N54" s="4">
        <f t="shared" si="0"/>
        <v>30.737963693764797</v>
      </c>
      <c r="O54" s="10">
        <f>SUM(Posts_2[[#This Row],[Likes]:[Comments]])</f>
        <v>5169</v>
      </c>
    </row>
    <row r="55" spans="1:15" x14ac:dyDescent="0.3">
      <c r="A55" t="s">
        <v>342</v>
      </c>
      <c r="B55" t="s">
        <v>27</v>
      </c>
      <c r="C55" s="3">
        <v>45496</v>
      </c>
      <c r="D55" t="s">
        <v>35</v>
      </c>
      <c r="E55" t="s">
        <v>154</v>
      </c>
      <c r="F55">
        <v>4775</v>
      </c>
      <c r="G55">
        <v>173</v>
      </c>
      <c r="H55">
        <v>206</v>
      </c>
      <c r="I55">
        <v>47750</v>
      </c>
      <c r="J55">
        <v>47544</v>
      </c>
      <c r="K55">
        <v>187</v>
      </c>
      <c r="L55" t="s">
        <v>62</v>
      </c>
      <c r="M55" t="s">
        <v>25</v>
      </c>
      <c r="N55" s="4">
        <f t="shared" si="0"/>
        <v>24.468062827225133</v>
      </c>
      <c r="O55" s="10">
        <f>SUM(Posts_2[[#This Row],[Likes]:[Comments]])</f>
        <v>5154</v>
      </c>
    </row>
    <row r="56" spans="1:15" x14ac:dyDescent="0.3">
      <c r="A56" t="s">
        <v>289</v>
      </c>
      <c r="B56" t="s">
        <v>33</v>
      </c>
      <c r="C56" s="3">
        <v>45457</v>
      </c>
      <c r="D56" t="s">
        <v>35</v>
      </c>
      <c r="E56" t="s">
        <v>36</v>
      </c>
      <c r="F56">
        <v>4363</v>
      </c>
      <c r="G56">
        <v>649</v>
      </c>
      <c r="H56">
        <v>140</v>
      </c>
      <c r="I56">
        <v>21815</v>
      </c>
      <c r="J56">
        <v>21481</v>
      </c>
      <c r="K56">
        <v>157</v>
      </c>
      <c r="L56" t="s">
        <v>37</v>
      </c>
      <c r="M56" t="s">
        <v>19</v>
      </c>
      <c r="N56" s="4">
        <f t="shared" si="0"/>
        <v>53.55718542287417</v>
      </c>
      <c r="O56" s="10">
        <f>SUM(Posts_2[[#This Row],[Likes]:[Comments]])</f>
        <v>5152</v>
      </c>
    </row>
    <row r="57" spans="1:15" x14ac:dyDescent="0.3">
      <c r="A57" t="s">
        <v>402</v>
      </c>
      <c r="B57" t="s">
        <v>27</v>
      </c>
      <c r="C57" s="3">
        <v>45567</v>
      </c>
      <c r="D57" t="s">
        <v>35</v>
      </c>
      <c r="E57" t="s">
        <v>154</v>
      </c>
      <c r="F57">
        <v>4350</v>
      </c>
      <c r="G57">
        <v>771</v>
      </c>
      <c r="H57">
        <v>7</v>
      </c>
      <c r="I57">
        <v>60900</v>
      </c>
      <c r="J57">
        <v>60592</v>
      </c>
      <c r="K57">
        <v>195</v>
      </c>
      <c r="L57" t="s">
        <v>37</v>
      </c>
      <c r="M57" t="s">
        <v>19</v>
      </c>
      <c r="N57" s="4">
        <f t="shared" si="0"/>
        <v>19.184729064039409</v>
      </c>
      <c r="O57" s="10">
        <f>SUM(Posts_2[[#This Row],[Likes]:[Comments]])</f>
        <v>5128</v>
      </c>
    </row>
    <row r="58" spans="1:15" x14ac:dyDescent="0.3">
      <c r="A58" t="s">
        <v>515</v>
      </c>
      <c r="B58" t="s">
        <v>43</v>
      </c>
      <c r="C58" s="3">
        <v>45621</v>
      </c>
      <c r="D58" t="s">
        <v>35</v>
      </c>
      <c r="E58" t="s">
        <v>71</v>
      </c>
      <c r="F58">
        <v>4182</v>
      </c>
      <c r="G58">
        <v>640</v>
      </c>
      <c r="H58">
        <v>240</v>
      </c>
      <c r="I58">
        <v>50184</v>
      </c>
      <c r="J58">
        <v>49351</v>
      </c>
      <c r="K58">
        <v>10</v>
      </c>
      <c r="L58" t="s">
        <v>30</v>
      </c>
      <c r="M58" t="s">
        <v>31</v>
      </c>
      <c r="N58" s="4">
        <f t="shared" si="0"/>
        <v>23.281324725011956</v>
      </c>
      <c r="O58" s="10">
        <f>SUM(Posts_2[[#This Row],[Likes]:[Comments]])</f>
        <v>5062</v>
      </c>
    </row>
    <row r="59" spans="1:15" x14ac:dyDescent="0.3">
      <c r="A59" t="s">
        <v>479</v>
      </c>
      <c r="B59" t="s">
        <v>43</v>
      </c>
      <c r="C59" s="3">
        <v>45669</v>
      </c>
      <c r="D59" t="s">
        <v>16</v>
      </c>
      <c r="E59" t="s">
        <v>65</v>
      </c>
      <c r="F59">
        <v>4134</v>
      </c>
      <c r="G59">
        <v>824</v>
      </c>
      <c r="H59">
        <v>99</v>
      </c>
      <c r="I59">
        <v>41340</v>
      </c>
      <c r="J59">
        <v>41050</v>
      </c>
      <c r="K59">
        <v>177</v>
      </c>
      <c r="L59" t="s">
        <v>37</v>
      </c>
      <c r="M59" t="s">
        <v>19</v>
      </c>
      <c r="N59" s="4">
        <f t="shared" si="0"/>
        <v>28.261973875181422</v>
      </c>
      <c r="O59" s="10">
        <f>SUM(Posts_2[[#This Row],[Likes]:[Comments]])</f>
        <v>5057</v>
      </c>
    </row>
    <row r="60" spans="1:15" x14ac:dyDescent="0.3">
      <c r="A60" t="s">
        <v>519</v>
      </c>
      <c r="B60" t="s">
        <v>33</v>
      </c>
      <c r="C60" s="3">
        <v>45601</v>
      </c>
      <c r="D60" t="s">
        <v>74</v>
      </c>
      <c r="E60" t="s">
        <v>85</v>
      </c>
      <c r="F60">
        <v>4561</v>
      </c>
      <c r="G60">
        <v>51</v>
      </c>
      <c r="H60">
        <v>441</v>
      </c>
      <c r="I60">
        <v>22805</v>
      </c>
      <c r="J60">
        <v>21890</v>
      </c>
      <c r="K60">
        <v>45</v>
      </c>
      <c r="L60" t="s">
        <v>30</v>
      </c>
      <c r="M60" t="s">
        <v>25</v>
      </c>
      <c r="N60" s="4">
        <f t="shared" si="0"/>
        <v>51.232185924139444</v>
      </c>
      <c r="O60" s="10">
        <f>SUM(Posts_2[[#This Row],[Likes]:[Comments]])</f>
        <v>5053</v>
      </c>
    </row>
    <row r="61" spans="1:15" x14ac:dyDescent="0.3">
      <c r="A61" t="s">
        <v>564</v>
      </c>
      <c r="B61" t="s">
        <v>43</v>
      </c>
      <c r="C61" s="3">
        <v>45589</v>
      </c>
      <c r="D61" t="s">
        <v>52</v>
      </c>
      <c r="E61" t="s">
        <v>59</v>
      </c>
      <c r="F61">
        <v>4303</v>
      </c>
      <c r="G61">
        <v>451</v>
      </c>
      <c r="H61">
        <v>286</v>
      </c>
      <c r="I61">
        <v>86060</v>
      </c>
      <c r="J61">
        <v>85823</v>
      </c>
      <c r="K61">
        <v>14</v>
      </c>
      <c r="L61" t="s">
        <v>30</v>
      </c>
      <c r="M61" t="s">
        <v>31</v>
      </c>
      <c r="N61" s="4">
        <f t="shared" si="0"/>
        <v>13.575993492911921</v>
      </c>
      <c r="O61" s="10">
        <f>SUM(Posts_2[[#This Row],[Likes]:[Comments]])</f>
        <v>5040</v>
      </c>
    </row>
    <row r="62" spans="1:15" x14ac:dyDescent="0.3">
      <c r="A62" t="s">
        <v>198</v>
      </c>
      <c r="B62" t="s">
        <v>43</v>
      </c>
      <c r="C62" s="3">
        <v>45583</v>
      </c>
      <c r="D62" t="s">
        <v>35</v>
      </c>
      <c r="E62" t="s">
        <v>71</v>
      </c>
      <c r="F62">
        <v>4126</v>
      </c>
      <c r="G62">
        <v>426</v>
      </c>
      <c r="H62">
        <v>486</v>
      </c>
      <c r="I62">
        <v>78394</v>
      </c>
      <c r="J62">
        <v>77798</v>
      </c>
      <c r="K62">
        <v>88</v>
      </c>
      <c r="L62" t="s">
        <v>62</v>
      </c>
      <c r="M62" t="s">
        <v>38</v>
      </c>
      <c r="N62" s="4">
        <f t="shared" si="0"/>
        <v>14.903564048269001</v>
      </c>
      <c r="O62" s="10">
        <f>SUM(Posts_2[[#This Row],[Likes]:[Comments]])</f>
        <v>5038</v>
      </c>
    </row>
    <row r="63" spans="1:15" x14ac:dyDescent="0.3">
      <c r="A63" t="s">
        <v>552</v>
      </c>
      <c r="B63" t="s">
        <v>43</v>
      </c>
      <c r="C63" s="3">
        <v>45602</v>
      </c>
      <c r="D63" t="s">
        <v>74</v>
      </c>
      <c r="E63" t="s">
        <v>75</v>
      </c>
      <c r="F63">
        <v>4663</v>
      </c>
      <c r="G63">
        <v>145</v>
      </c>
      <c r="H63">
        <v>225</v>
      </c>
      <c r="I63">
        <v>69945</v>
      </c>
      <c r="J63">
        <v>69596</v>
      </c>
      <c r="K63">
        <v>35</v>
      </c>
      <c r="L63" t="s">
        <v>37</v>
      </c>
      <c r="M63" t="s">
        <v>38</v>
      </c>
      <c r="N63" s="4">
        <f t="shared" si="0"/>
        <v>16.703838730431052</v>
      </c>
      <c r="O63" s="10">
        <f>SUM(Posts_2[[#This Row],[Likes]:[Comments]])</f>
        <v>5033</v>
      </c>
    </row>
    <row r="64" spans="1:15" x14ac:dyDescent="0.3">
      <c r="A64" t="s">
        <v>449</v>
      </c>
      <c r="B64" t="s">
        <v>14</v>
      </c>
      <c r="C64" s="3">
        <v>45463</v>
      </c>
      <c r="D64" t="s">
        <v>45</v>
      </c>
      <c r="E64" t="s">
        <v>49</v>
      </c>
      <c r="F64">
        <v>4672</v>
      </c>
      <c r="G64">
        <v>325</v>
      </c>
      <c r="H64">
        <v>32</v>
      </c>
      <c r="I64">
        <v>88768</v>
      </c>
      <c r="J64">
        <v>87833</v>
      </c>
      <c r="K64">
        <v>118</v>
      </c>
      <c r="L64" t="s">
        <v>37</v>
      </c>
      <c r="M64" t="s">
        <v>620</v>
      </c>
      <c r="N64" s="4">
        <f t="shared" si="0"/>
        <v>13.161837599134824</v>
      </c>
      <c r="O64" s="10">
        <f>SUM(Posts_2[[#This Row],[Likes]:[Comments]])</f>
        <v>5029</v>
      </c>
    </row>
    <row r="65" spans="1:15" x14ac:dyDescent="0.3">
      <c r="A65" t="s">
        <v>273</v>
      </c>
      <c r="B65" t="s">
        <v>14</v>
      </c>
      <c r="C65" s="3">
        <v>45567</v>
      </c>
      <c r="D65" t="s">
        <v>45</v>
      </c>
      <c r="E65" t="s">
        <v>49</v>
      </c>
      <c r="F65">
        <v>4419</v>
      </c>
      <c r="G65">
        <v>236</v>
      </c>
      <c r="H65">
        <v>369</v>
      </c>
      <c r="I65">
        <v>44190</v>
      </c>
      <c r="J65">
        <v>43582</v>
      </c>
      <c r="K65">
        <v>10</v>
      </c>
      <c r="L65" t="s">
        <v>37</v>
      </c>
      <c r="M65" t="s">
        <v>19</v>
      </c>
      <c r="N65" s="4">
        <f t="shared" si="0"/>
        <v>26.439239646978955</v>
      </c>
      <c r="O65" s="10">
        <f>SUM(Posts_2[[#This Row],[Likes]:[Comments]])</f>
        <v>5024</v>
      </c>
    </row>
    <row r="66" spans="1:15" x14ac:dyDescent="0.3">
      <c r="A66" t="s">
        <v>78</v>
      </c>
      <c r="B66" t="s">
        <v>43</v>
      </c>
      <c r="C66" s="3">
        <v>45782</v>
      </c>
      <c r="D66" t="s">
        <v>22</v>
      </c>
      <c r="E66" t="s">
        <v>56</v>
      </c>
      <c r="F66">
        <v>4441</v>
      </c>
      <c r="G66">
        <v>511</v>
      </c>
      <c r="H66">
        <v>70</v>
      </c>
      <c r="I66">
        <v>53292</v>
      </c>
      <c r="J66">
        <v>53082</v>
      </c>
      <c r="K66">
        <v>159</v>
      </c>
      <c r="L66" t="s">
        <v>37</v>
      </c>
      <c r="M66" t="s">
        <v>38</v>
      </c>
      <c r="N66" s="4">
        <f t="shared" ref="N66:N129" si="1">SUM(F:H)/I:I</f>
        <v>21.923553253771672</v>
      </c>
      <c r="O66" s="10">
        <f>SUM(Posts_2[[#This Row],[Likes]:[Comments]])</f>
        <v>5022</v>
      </c>
    </row>
    <row r="67" spans="1:15" x14ac:dyDescent="0.3">
      <c r="A67" t="s">
        <v>488</v>
      </c>
      <c r="B67" t="s">
        <v>43</v>
      </c>
      <c r="C67" s="3">
        <v>45465</v>
      </c>
      <c r="D67" t="s">
        <v>16</v>
      </c>
      <c r="E67" t="s">
        <v>65</v>
      </c>
      <c r="F67">
        <v>3813</v>
      </c>
      <c r="G67">
        <v>935</v>
      </c>
      <c r="H67">
        <v>274</v>
      </c>
      <c r="I67">
        <v>68634</v>
      </c>
      <c r="J67">
        <v>68488</v>
      </c>
      <c r="K67">
        <v>251</v>
      </c>
      <c r="L67" t="s">
        <v>62</v>
      </c>
      <c r="M67" t="s">
        <v>620</v>
      </c>
      <c r="N67" s="4">
        <f t="shared" si="1"/>
        <v>17.022904100008741</v>
      </c>
      <c r="O67" s="10">
        <f>SUM(Posts_2[[#This Row],[Likes]:[Comments]])</f>
        <v>5022</v>
      </c>
    </row>
    <row r="68" spans="1:15" x14ac:dyDescent="0.3">
      <c r="A68" t="s">
        <v>517</v>
      </c>
      <c r="B68" t="s">
        <v>33</v>
      </c>
      <c r="C68" s="3">
        <v>45760</v>
      </c>
      <c r="D68" t="s">
        <v>16</v>
      </c>
      <c r="E68" t="s">
        <v>82</v>
      </c>
      <c r="F68">
        <v>4579</v>
      </c>
      <c r="G68">
        <v>125</v>
      </c>
      <c r="H68">
        <v>300</v>
      </c>
      <c r="I68">
        <v>59527</v>
      </c>
      <c r="J68">
        <v>59400</v>
      </c>
      <c r="K68">
        <v>269</v>
      </c>
      <c r="L68" t="s">
        <v>37</v>
      </c>
      <c r="M68" t="s">
        <v>19</v>
      </c>
      <c r="N68" s="4">
        <f t="shared" si="1"/>
        <v>19.627227980580241</v>
      </c>
      <c r="O68" s="10">
        <f>SUM(Posts_2[[#This Row],[Likes]:[Comments]])</f>
        <v>5004</v>
      </c>
    </row>
    <row r="69" spans="1:15" x14ac:dyDescent="0.3">
      <c r="A69" t="s">
        <v>54</v>
      </c>
      <c r="B69" t="s">
        <v>43</v>
      </c>
      <c r="C69" s="3">
        <v>45534</v>
      </c>
      <c r="D69" t="s">
        <v>22</v>
      </c>
      <c r="E69" t="s">
        <v>56</v>
      </c>
      <c r="F69">
        <v>3784</v>
      </c>
      <c r="G69">
        <v>808</v>
      </c>
      <c r="H69">
        <v>404</v>
      </c>
      <c r="I69">
        <v>56760</v>
      </c>
      <c r="J69">
        <v>56343</v>
      </c>
      <c r="K69">
        <v>131</v>
      </c>
      <c r="L69" t="s">
        <v>30</v>
      </c>
      <c r="M69" t="s">
        <v>25</v>
      </c>
      <c r="N69" s="4">
        <f t="shared" si="1"/>
        <v>20.584038054968289</v>
      </c>
      <c r="O69" s="10">
        <f>SUM(Posts_2[[#This Row],[Likes]:[Comments]])</f>
        <v>4996</v>
      </c>
    </row>
    <row r="70" spans="1:15" x14ac:dyDescent="0.3">
      <c r="A70" t="s">
        <v>442</v>
      </c>
      <c r="B70" t="s">
        <v>43</v>
      </c>
      <c r="C70" s="3">
        <v>45739</v>
      </c>
      <c r="D70" t="s">
        <v>74</v>
      </c>
      <c r="E70" t="s">
        <v>75</v>
      </c>
      <c r="F70">
        <v>4453</v>
      </c>
      <c r="G70">
        <v>111</v>
      </c>
      <c r="H70">
        <v>420</v>
      </c>
      <c r="I70">
        <v>31171</v>
      </c>
      <c r="J70">
        <v>30565</v>
      </c>
      <c r="K70">
        <v>23</v>
      </c>
      <c r="L70" t="s">
        <v>30</v>
      </c>
      <c r="M70" t="s">
        <v>620</v>
      </c>
      <c r="N70" s="4">
        <f t="shared" si="1"/>
        <v>37.481954380674345</v>
      </c>
      <c r="O70" s="10">
        <f>SUM(Posts_2[[#This Row],[Likes]:[Comments]])</f>
        <v>4984</v>
      </c>
    </row>
    <row r="71" spans="1:15" x14ac:dyDescent="0.3">
      <c r="A71" t="s">
        <v>20</v>
      </c>
      <c r="B71" t="s">
        <v>14</v>
      </c>
      <c r="C71" s="3">
        <v>45750</v>
      </c>
      <c r="D71" t="s">
        <v>22</v>
      </c>
      <c r="E71" t="s">
        <v>23</v>
      </c>
      <c r="F71">
        <v>4054</v>
      </c>
      <c r="G71">
        <v>389</v>
      </c>
      <c r="H71">
        <v>493</v>
      </c>
      <c r="I71">
        <v>64864</v>
      </c>
      <c r="J71">
        <v>64383</v>
      </c>
      <c r="K71">
        <v>117</v>
      </c>
      <c r="L71" t="s">
        <v>30</v>
      </c>
      <c r="M71" t="s">
        <v>25</v>
      </c>
      <c r="N71" s="4">
        <f t="shared" si="1"/>
        <v>18.01230266403552</v>
      </c>
      <c r="O71" s="10">
        <f>SUM(Posts_2[[#This Row],[Likes]:[Comments]])</f>
        <v>4936</v>
      </c>
    </row>
    <row r="72" spans="1:15" x14ac:dyDescent="0.3">
      <c r="A72" t="s">
        <v>20</v>
      </c>
      <c r="B72" t="s">
        <v>14</v>
      </c>
      <c r="C72" s="3">
        <v>45750</v>
      </c>
      <c r="D72" t="s">
        <v>22</v>
      </c>
      <c r="E72" t="s">
        <v>23</v>
      </c>
      <c r="F72">
        <v>4054</v>
      </c>
      <c r="G72">
        <v>389</v>
      </c>
      <c r="H72">
        <v>493</v>
      </c>
      <c r="I72">
        <v>64864</v>
      </c>
      <c r="J72">
        <v>64383</v>
      </c>
      <c r="K72">
        <v>117</v>
      </c>
      <c r="L72" t="s">
        <v>613</v>
      </c>
      <c r="M72" t="s">
        <v>25</v>
      </c>
      <c r="N72" s="4">
        <f t="shared" si="1"/>
        <v>18.01230266403552</v>
      </c>
      <c r="O72" s="10">
        <f>SUM(Posts_2[[#This Row],[Likes]:[Comments]])</f>
        <v>4936</v>
      </c>
    </row>
    <row r="73" spans="1:15" x14ac:dyDescent="0.3">
      <c r="A73" t="s">
        <v>69</v>
      </c>
      <c r="B73" t="s">
        <v>43</v>
      </c>
      <c r="C73" s="3">
        <v>45704</v>
      </c>
      <c r="D73" t="s">
        <v>35</v>
      </c>
      <c r="E73" t="s">
        <v>71</v>
      </c>
      <c r="F73">
        <v>4242</v>
      </c>
      <c r="G73">
        <v>555</v>
      </c>
      <c r="H73">
        <v>131</v>
      </c>
      <c r="I73">
        <v>33936</v>
      </c>
      <c r="J73">
        <v>33802</v>
      </c>
      <c r="K73">
        <v>265</v>
      </c>
      <c r="L73" t="s">
        <v>62</v>
      </c>
      <c r="M73" t="s">
        <v>620</v>
      </c>
      <c r="N73" s="4">
        <f t="shared" si="1"/>
        <v>34.428041018387553</v>
      </c>
      <c r="O73" s="10">
        <f>SUM(Posts_2[[#This Row],[Likes]:[Comments]])</f>
        <v>4928</v>
      </c>
    </row>
    <row r="74" spans="1:15" x14ac:dyDescent="0.3">
      <c r="A74" t="s">
        <v>327</v>
      </c>
      <c r="B74" t="s">
        <v>33</v>
      </c>
      <c r="C74" s="3">
        <v>45762</v>
      </c>
      <c r="D74" t="s">
        <v>74</v>
      </c>
      <c r="E74" t="s">
        <v>85</v>
      </c>
      <c r="F74">
        <v>4133</v>
      </c>
      <c r="G74">
        <v>466</v>
      </c>
      <c r="H74">
        <v>327</v>
      </c>
      <c r="I74">
        <v>24798</v>
      </c>
      <c r="J74">
        <v>24620</v>
      </c>
      <c r="K74">
        <v>176</v>
      </c>
      <c r="L74" t="s">
        <v>37</v>
      </c>
      <c r="M74" t="s">
        <v>38</v>
      </c>
      <c r="N74" s="4">
        <f t="shared" si="1"/>
        <v>47.114686668279703</v>
      </c>
      <c r="O74" s="10">
        <f>SUM(Posts_2[[#This Row],[Likes]:[Comments]])</f>
        <v>4926</v>
      </c>
    </row>
    <row r="75" spans="1:15" x14ac:dyDescent="0.3">
      <c r="A75" t="s">
        <v>231</v>
      </c>
      <c r="B75" t="s">
        <v>33</v>
      </c>
      <c r="C75" s="3">
        <v>45446</v>
      </c>
      <c r="D75" t="s">
        <v>52</v>
      </c>
      <c r="E75" t="s">
        <v>215</v>
      </c>
      <c r="F75">
        <v>3861</v>
      </c>
      <c r="G75">
        <v>960</v>
      </c>
      <c r="H75">
        <v>101</v>
      </c>
      <c r="I75">
        <v>69498</v>
      </c>
      <c r="J75">
        <v>68817</v>
      </c>
      <c r="K75">
        <v>297</v>
      </c>
      <c r="L75" t="s">
        <v>30</v>
      </c>
      <c r="M75" t="s">
        <v>38</v>
      </c>
      <c r="N75" s="4">
        <f t="shared" si="1"/>
        <v>16.811275144608476</v>
      </c>
      <c r="O75" s="10">
        <f>SUM(Posts_2[[#This Row],[Likes]:[Comments]])</f>
        <v>4922</v>
      </c>
    </row>
    <row r="76" spans="1:15" x14ac:dyDescent="0.3">
      <c r="A76" t="s">
        <v>86</v>
      </c>
      <c r="B76" t="s">
        <v>33</v>
      </c>
      <c r="C76" s="3">
        <v>45544</v>
      </c>
      <c r="D76" t="s">
        <v>45</v>
      </c>
      <c r="E76" t="s">
        <v>88</v>
      </c>
      <c r="F76">
        <v>4054</v>
      </c>
      <c r="G76">
        <v>488</v>
      </c>
      <c r="H76">
        <v>373</v>
      </c>
      <c r="I76">
        <v>77026</v>
      </c>
      <c r="J76">
        <v>76881</v>
      </c>
      <c r="K76">
        <v>25</v>
      </c>
      <c r="L76" t="s">
        <v>30</v>
      </c>
      <c r="M76" t="s">
        <v>19</v>
      </c>
      <c r="N76" s="4">
        <f t="shared" si="1"/>
        <v>15.168254874977281</v>
      </c>
      <c r="O76" s="10">
        <f>SUM(Posts_2[[#This Row],[Likes]:[Comments]])</f>
        <v>4915</v>
      </c>
    </row>
    <row r="77" spans="1:15" x14ac:dyDescent="0.3">
      <c r="A77" t="s">
        <v>306</v>
      </c>
      <c r="B77" t="s">
        <v>43</v>
      </c>
      <c r="C77" s="3">
        <v>45624</v>
      </c>
      <c r="D77" t="s">
        <v>22</v>
      </c>
      <c r="E77" t="s">
        <v>56</v>
      </c>
      <c r="F77">
        <v>4213</v>
      </c>
      <c r="G77">
        <v>253</v>
      </c>
      <c r="H77">
        <v>434</v>
      </c>
      <c r="I77">
        <v>75834</v>
      </c>
      <c r="J77">
        <v>75437</v>
      </c>
      <c r="K77">
        <v>272</v>
      </c>
      <c r="L77" t="s">
        <v>62</v>
      </c>
      <c r="M77" t="s">
        <v>38</v>
      </c>
      <c r="N77" s="4">
        <f t="shared" si="1"/>
        <v>15.406677743492365</v>
      </c>
      <c r="O77" s="10">
        <f>SUM(Posts_2[[#This Row],[Likes]:[Comments]])</f>
        <v>4900</v>
      </c>
    </row>
    <row r="78" spans="1:15" x14ac:dyDescent="0.3">
      <c r="A78" t="s">
        <v>423</v>
      </c>
      <c r="B78" t="s">
        <v>14</v>
      </c>
      <c r="C78" s="3">
        <v>45655</v>
      </c>
      <c r="D78" t="s">
        <v>45</v>
      </c>
      <c r="E78" t="s">
        <v>49</v>
      </c>
      <c r="F78">
        <v>4274</v>
      </c>
      <c r="G78">
        <v>340</v>
      </c>
      <c r="H78">
        <v>281</v>
      </c>
      <c r="I78">
        <v>34192</v>
      </c>
      <c r="J78">
        <v>33446</v>
      </c>
      <c r="K78">
        <v>129</v>
      </c>
      <c r="L78" t="s">
        <v>30</v>
      </c>
      <c r="M78" t="s">
        <v>31</v>
      </c>
      <c r="N78" s="4">
        <f t="shared" si="1"/>
        <v>34.170273748245201</v>
      </c>
      <c r="O78" s="10">
        <f>SUM(Posts_2[[#This Row],[Likes]:[Comments]])</f>
        <v>4895</v>
      </c>
    </row>
    <row r="79" spans="1:15" x14ac:dyDescent="0.3">
      <c r="A79" t="s">
        <v>423</v>
      </c>
      <c r="B79" t="s">
        <v>14</v>
      </c>
      <c r="C79" s="3">
        <v>45655</v>
      </c>
      <c r="D79" t="s">
        <v>45</v>
      </c>
      <c r="E79" t="s">
        <v>49</v>
      </c>
      <c r="F79">
        <v>4274</v>
      </c>
      <c r="G79">
        <v>340</v>
      </c>
      <c r="H79">
        <v>281</v>
      </c>
      <c r="I79">
        <v>34192</v>
      </c>
      <c r="J79">
        <v>33446</v>
      </c>
      <c r="K79">
        <v>129</v>
      </c>
      <c r="L79" t="s">
        <v>607</v>
      </c>
      <c r="M79" t="s">
        <v>31</v>
      </c>
      <c r="N79" s="4">
        <f t="shared" si="1"/>
        <v>34.170273748245201</v>
      </c>
      <c r="O79" s="10">
        <f>SUM(Posts_2[[#This Row],[Likes]:[Comments]])</f>
        <v>4895</v>
      </c>
    </row>
    <row r="80" spans="1:15" x14ac:dyDescent="0.3">
      <c r="A80" t="s">
        <v>292</v>
      </c>
      <c r="B80" t="s">
        <v>14</v>
      </c>
      <c r="C80" s="3">
        <v>45543</v>
      </c>
      <c r="D80" t="s">
        <v>45</v>
      </c>
      <c r="E80" t="s">
        <v>49</v>
      </c>
      <c r="F80">
        <v>3811</v>
      </c>
      <c r="G80">
        <v>866</v>
      </c>
      <c r="H80">
        <v>216</v>
      </c>
      <c r="I80">
        <v>34299</v>
      </c>
      <c r="J80">
        <v>34088</v>
      </c>
      <c r="K80">
        <v>233</v>
      </c>
      <c r="L80" t="s">
        <v>30</v>
      </c>
      <c r="M80" t="s">
        <v>38</v>
      </c>
      <c r="N80" s="4">
        <f t="shared" si="1"/>
        <v>34.063675325811246</v>
      </c>
      <c r="O80" s="10">
        <f>SUM(Posts_2[[#This Row],[Likes]:[Comments]])</f>
        <v>4893</v>
      </c>
    </row>
    <row r="81" spans="1:15" x14ac:dyDescent="0.3">
      <c r="A81" t="s">
        <v>543</v>
      </c>
      <c r="B81" t="s">
        <v>27</v>
      </c>
      <c r="C81" s="3">
        <v>45491</v>
      </c>
      <c r="D81" t="s">
        <v>22</v>
      </c>
      <c r="E81" t="s">
        <v>104</v>
      </c>
      <c r="F81">
        <v>4021</v>
      </c>
      <c r="G81">
        <v>794</v>
      </c>
      <c r="H81">
        <v>77</v>
      </c>
      <c r="I81">
        <v>36189</v>
      </c>
      <c r="J81">
        <v>35505</v>
      </c>
      <c r="K81">
        <v>174</v>
      </c>
      <c r="L81" t="s">
        <v>37</v>
      </c>
      <c r="M81" t="s">
        <v>620</v>
      </c>
      <c r="N81" s="4">
        <f t="shared" si="1"/>
        <v>32.284672137942472</v>
      </c>
      <c r="O81" s="10">
        <f>SUM(Posts_2[[#This Row],[Likes]:[Comments]])</f>
        <v>4892</v>
      </c>
    </row>
    <row r="82" spans="1:15" x14ac:dyDescent="0.3">
      <c r="A82" t="s">
        <v>475</v>
      </c>
      <c r="B82" t="s">
        <v>14</v>
      </c>
      <c r="C82" s="3">
        <v>45722</v>
      </c>
      <c r="D82" t="s">
        <v>52</v>
      </c>
      <c r="E82" t="s">
        <v>132</v>
      </c>
      <c r="F82">
        <v>3592</v>
      </c>
      <c r="G82">
        <v>911</v>
      </c>
      <c r="H82">
        <v>375</v>
      </c>
      <c r="I82">
        <v>50288</v>
      </c>
      <c r="J82">
        <v>49490</v>
      </c>
      <c r="K82">
        <v>32</v>
      </c>
      <c r="L82" t="s">
        <v>62</v>
      </c>
      <c r="M82" t="s">
        <v>38</v>
      </c>
      <c r="N82" s="4">
        <f t="shared" si="1"/>
        <v>23.233176901049951</v>
      </c>
      <c r="O82" s="10">
        <f>SUM(Posts_2[[#This Row],[Likes]:[Comments]])</f>
        <v>4878</v>
      </c>
    </row>
    <row r="83" spans="1:15" x14ac:dyDescent="0.3">
      <c r="A83" t="s">
        <v>379</v>
      </c>
      <c r="B83" t="s">
        <v>43</v>
      </c>
      <c r="C83" s="3">
        <v>45488</v>
      </c>
      <c r="D83" t="s">
        <v>45</v>
      </c>
      <c r="E83" t="s">
        <v>46</v>
      </c>
      <c r="F83">
        <v>3796</v>
      </c>
      <c r="G83">
        <v>667</v>
      </c>
      <c r="H83">
        <v>395</v>
      </c>
      <c r="I83">
        <v>64532</v>
      </c>
      <c r="J83">
        <v>63550</v>
      </c>
      <c r="K83">
        <v>292</v>
      </c>
      <c r="L83" t="s">
        <v>30</v>
      </c>
      <c r="M83" t="s">
        <v>620</v>
      </c>
      <c r="N83" s="4">
        <f t="shared" si="1"/>
        <v>18.104971177090437</v>
      </c>
      <c r="O83" s="10">
        <f>SUM(Posts_2[[#This Row],[Likes]:[Comments]])</f>
        <v>4858</v>
      </c>
    </row>
    <row r="84" spans="1:15" x14ac:dyDescent="0.3">
      <c r="A84" t="s">
        <v>96</v>
      </c>
      <c r="B84" t="s">
        <v>43</v>
      </c>
      <c r="C84" s="3">
        <v>45680</v>
      </c>
      <c r="D84" t="s">
        <v>74</v>
      </c>
      <c r="E84" t="s">
        <v>75</v>
      </c>
      <c r="F84">
        <v>3961</v>
      </c>
      <c r="G84">
        <v>761</v>
      </c>
      <c r="H84">
        <v>131</v>
      </c>
      <c r="I84">
        <v>67337</v>
      </c>
      <c r="J84">
        <v>66615</v>
      </c>
      <c r="K84">
        <v>161</v>
      </c>
      <c r="L84" t="s">
        <v>62</v>
      </c>
      <c r="M84" t="s">
        <v>31</v>
      </c>
      <c r="N84" s="4">
        <f t="shared" si="1"/>
        <v>17.350787828385585</v>
      </c>
      <c r="O84" s="10">
        <f>SUM(Posts_2[[#This Row],[Likes]:[Comments]])</f>
        <v>4853</v>
      </c>
    </row>
    <row r="85" spans="1:15" x14ac:dyDescent="0.3">
      <c r="A85" t="s">
        <v>467</v>
      </c>
      <c r="B85" t="s">
        <v>33</v>
      </c>
      <c r="C85" s="3">
        <v>45587</v>
      </c>
      <c r="D85" t="s">
        <v>35</v>
      </c>
      <c r="E85" t="s">
        <v>36</v>
      </c>
      <c r="F85">
        <v>3770</v>
      </c>
      <c r="G85">
        <v>917</v>
      </c>
      <c r="H85">
        <v>129</v>
      </c>
      <c r="I85">
        <v>71630</v>
      </c>
      <c r="J85">
        <v>71322</v>
      </c>
      <c r="K85">
        <v>76</v>
      </c>
      <c r="L85" t="s">
        <v>62</v>
      </c>
      <c r="M85" t="s">
        <v>19</v>
      </c>
      <c r="N85" s="4">
        <f t="shared" si="1"/>
        <v>16.310903252827028</v>
      </c>
      <c r="O85" s="10">
        <f>SUM(Posts_2[[#This Row],[Likes]:[Comments]])</f>
        <v>4816</v>
      </c>
    </row>
    <row r="86" spans="1:15" x14ac:dyDescent="0.3">
      <c r="A86" t="s">
        <v>246</v>
      </c>
      <c r="B86" t="s">
        <v>27</v>
      </c>
      <c r="C86" s="3">
        <v>45475</v>
      </c>
      <c r="D86" t="s">
        <v>45</v>
      </c>
      <c r="E86" t="s">
        <v>68</v>
      </c>
      <c r="F86">
        <v>4171</v>
      </c>
      <c r="G86">
        <v>548</v>
      </c>
      <c r="H86">
        <v>86</v>
      </c>
      <c r="I86">
        <v>66736</v>
      </c>
      <c r="J86">
        <v>66634</v>
      </c>
      <c r="K86">
        <v>173</v>
      </c>
      <c r="L86" t="s">
        <v>62</v>
      </c>
      <c r="M86" t="s">
        <v>31</v>
      </c>
      <c r="N86" s="4">
        <f t="shared" si="1"/>
        <v>17.50704267561736</v>
      </c>
      <c r="O86" s="10">
        <f>SUM(Posts_2[[#This Row],[Likes]:[Comments]])</f>
        <v>4805</v>
      </c>
    </row>
    <row r="87" spans="1:15" x14ac:dyDescent="0.3">
      <c r="A87" t="s">
        <v>222</v>
      </c>
      <c r="B87" t="s">
        <v>33</v>
      </c>
      <c r="C87" s="3">
        <v>45766</v>
      </c>
      <c r="D87" t="s">
        <v>52</v>
      </c>
      <c r="E87" t="s">
        <v>215</v>
      </c>
      <c r="F87">
        <v>4177</v>
      </c>
      <c r="G87">
        <v>569</v>
      </c>
      <c r="H87">
        <v>55</v>
      </c>
      <c r="I87">
        <v>25062</v>
      </c>
      <c r="J87">
        <v>24847</v>
      </c>
      <c r="K87">
        <v>230</v>
      </c>
      <c r="L87" t="s">
        <v>62</v>
      </c>
      <c r="M87" t="s">
        <v>19</v>
      </c>
      <c r="N87" s="4">
        <f t="shared" si="1"/>
        <v>46.618386401723725</v>
      </c>
      <c r="O87" s="10">
        <f>SUM(Posts_2[[#This Row],[Likes]:[Comments]])</f>
        <v>4801</v>
      </c>
    </row>
    <row r="88" spans="1:15" x14ac:dyDescent="0.3">
      <c r="A88" t="s">
        <v>420</v>
      </c>
      <c r="B88" t="s">
        <v>14</v>
      </c>
      <c r="C88" s="3">
        <v>45771</v>
      </c>
      <c r="D88" t="s">
        <v>74</v>
      </c>
      <c r="E88" t="s">
        <v>145</v>
      </c>
      <c r="F88">
        <v>3820</v>
      </c>
      <c r="G88">
        <v>697</v>
      </c>
      <c r="H88">
        <v>268</v>
      </c>
      <c r="I88">
        <v>45840</v>
      </c>
      <c r="J88">
        <v>45631</v>
      </c>
      <c r="K88">
        <v>171</v>
      </c>
      <c r="L88" t="s">
        <v>30</v>
      </c>
      <c r="M88" t="s">
        <v>38</v>
      </c>
      <c r="N88" s="4">
        <f t="shared" si="1"/>
        <v>25.487565445026178</v>
      </c>
      <c r="O88" s="10">
        <f>SUM(Posts_2[[#This Row],[Likes]:[Comments]])</f>
        <v>4785</v>
      </c>
    </row>
    <row r="89" spans="1:15" x14ac:dyDescent="0.3">
      <c r="A89" t="s">
        <v>420</v>
      </c>
      <c r="B89" t="s">
        <v>14</v>
      </c>
      <c r="C89" s="3">
        <v>45771</v>
      </c>
      <c r="D89" t="s">
        <v>74</v>
      </c>
      <c r="E89" t="s">
        <v>145</v>
      </c>
      <c r="F89">
        <v>3820</v>
      </c>
      <c r="G89">
        <v>697</v>
      </c>
      <c r="H89">
        <v>268</v>
      </c>
      <c r="I89">
        <v>45840</v>
      </c>
      <c r="J89">
        <v>45631</v>
      </c>
      <c r="K89">
        <v>171</v>
      </c>
      <c r="L89" t="s">
        <v>607</v>
      </c>
      <c r="M89" t="s">
        <v>38</v>
      </c>
      <c r="N89" s="4">
        <f t="shared" si="1"/>
        <v>25.487565445026178</v>
      </c>
      <c r="O89" s="10">
        <f>SUM(Posts_2[[#This Row],[Likes]:[Comments]])</f>
        <v>4785</v>
      </c>
    </row>
    <row r="90" spans="1:15" x14ac:dyDescent="0.3">
      <c r="A90" t="s">
        <v>431</v>
      </c>
      <c r="B90" t="s">
        <v>27</v>
      </c>
      <c r="C90" s="3">
        <v>45719</v>
      </c>
      <c r="D90" t="s">
        <v>74</v>
      </c>
      <c r="E90" t="s">
        <v>219</v>
      </c>
      <c r="F90">
        <v>3874</v>
      </c>
      <c r="G90">
        <v>884</v>
      </c>
      <c r="H90">
        <v>19</v>
      </c>
      <c r="I90">
        <v>38740</v>
      </c>
      <c r="J90">
        <v>38552</v>
      </c>
      <c r="K90">
        <v>219</v>
      </c>
      <c r="L90" t="s">
        <v>30</v>
      </c>
      <c r="M90" t="s">
        <v>25</v>
      </c>
      <c r="N90" s="4">
        <f t="shared" si="1"/>
        <v>30.158750645327828</v>
      </c>
      <c r="O90" s="10">
        <f>SUM(Posts_2[[#This Row],[Likes]:[Comments]])</f>
        <v>4777</v>
      </c>
    </row>
    <row r="91" spans="1:15" x14ac:dyDescent="0.3">
      <c r="A91" t="s">
        <v>340</v>
      </c>
      <c r="B91" t="s">
        <v>43</v>
      </c>
      <c r="C91" s="3">
        <v>45587</v>
      </c>
      <c r="D91" t="s">
        <v>45</v>
      </c>
      <c r="E91" t="s">
        <v>46</v>
      </c>
      <c r="F91">
        <v>3352</v>
      </c>
      <c r="G91">
        <v>941</v>
      </c>
      <c r="H91">
        <v>482</v>
      </c>
      <c r="I91">
        <v>43576</v>
      </c>
      <c r="J91">
        <v>43338</v>
      </c>
      <c r="K91">
        <v>240</v>
      </c>
      <c r="L91" t="s">
        <v>62</v>
      </c>
      <c r="M91" t="s">
        <v>25</v>
      </c>
      <c r="N91" s="4">
        <f t="shared" si="1"/>
        <v>26.81177712502295</v>
      </c>
      <c r="O91" s="10">
        <f>SUM(Posts_2[[#This Row],[Likes]:[Comments]])</f>
        <v>4775</v>
      </c>
    </row>
    <row r="92" spans="1:15" x14ac:dyDescent="0.3">
      <c r="A92" t="s">
        <v>267</v>
      </c>
      <c r="B92" t="s">
        <v>33</v>
      </c>
      <c r="C92" s="3">
        <v>45502</v>
      </c>
      <c r="D92" t="s">
        <v>16</v>
      </c>
      <c r="E92" t="s">
        <v>82</v>
      </c>
      <c r="F92">
        <v>3523</v>
      </c>
      <c r="G92">
        <v>753</v>
      </c>
      <c r="H92">
        <v>482</v>
      </c>
      <c r="I92">
        <v>38753</v>
      </c>
      <c r="J92">
        <v>38579</v>
      </c>
      <c r="K92">
        <v>270</v>
      </c>
      <c r="L92" t="s">
        <v>37</v>
      </c>
      <c r="M92" t="s">
        <v>25</v>
      </c>
      <c r="N92" s="4">
        <f t="shared" si="1"/>
        <v>30.148633654168709</v>
      </c>
      <c r="O92" s="10">
        <f>SUM(Posts_2[[#This Row],[Likes]:[Comments]])</f>
        <v>4758</v>
      </c>
    </row>
    <row r="93" spans="1:15" x14ac:dyDescent="0.3">
      <c r="A93" t="s">
        <v>388</v>
      </c>
      <c r="B93" t="s">
        <v>33</v>
      </c>
      <c r="C93" s="3">
        <v>45668</v>
      </c>
      <c r="D93" t="s">
        <v>45</v>
      </c>
      <c r="E93" t="s">
        <v>88</v>
      </c>
      <c r="F93">
        <v>4523</v>
      </c>
      <c r="G93">
        <v>61</v>
      </c>
      <c r="H93">
        <v>157</v>
      </c>
      <c r="I93">
        <v>49753</v>
      </c>
      <c r="J93">
        <v>49329</v>
      </c>
      <c r="K93">
        <v>71</v>
      </c>
      <c r="L93" t="s">
        <v>37</v>
      </c>
      <c r="M93" t="s">
        <v>620</v>
      </c>
      <c r="N93" s="4">
        <f t="shared" si="1"/>
        <v>23.483006049886438</v>
      </c>
      <c r="O93" s="10">
        <f>SUM(Posts_2[[#This Row],[Likes]:[Comments]])</f>
        <v>4741</v>
      </c>
    </row>
    <row r="94" spans="1:15" x14ac:dyDescent="0.3">
      <c r="A94" t="s">
        <v>180</v>
      </c>
      <c r="B94" t="s">
        <v>14</v>
      </c>
      <c r="C94" s="3">
        <v>45504</v>
      </c>
      <c r="D94" t="s">
        <v>45</v>
      </c>
      <c r="E94" t="s">
        <v>49</v>
      </c>
      <c r="F94">
        <v>4507</v>
      </c>
      <c r="G94">
        <v>217</v>
      </c>
      <c r="H94">
        <v>13</v>
      </c>
      <c r="I94">
        <v>90140</v>
      </c>
      <c r="J94">
        <v>89591</v>
      </c>
      <c r="K94">
        <v>125</v>
      </c>
      <c r="L94" t="s">
        <v>62</v>
      </c>
      <c r="M94" t="s">
        <v>31</v>
      </c>
      <c r="N94" s="4">
        <f t="shared" si="1"/>
        <v>12.961504326603063</v>
      </c>
      <c r="O94" s="10">
        <f>SUM(Posts_2[[#This Row],[Likes]:[Comments]])</f>
        <v>4737</v>
      </c>
    </row>
    <row r="95" spans="1:15" x14ac:dyDescent="0.3">
      <c r="A95" t="s">
        <v>390</v>
      </c>
      <c r="B95" t="s">
        <v>43</v>
      </c>
      <c r="C95" s="3">
        <v>45528</v>
      </c>
      <c r="D95" t="s">
        <v>45</v>
      </c>
      <c r="E95" t="s">
        <v>46</v>
      </c>
      <c r="F95">
        <v>4292</v>
      </c>
      <c r="G95">
        <v>51</v>
      </c>
      <c r="H95">
        <v>392</v>
      </c>
      <c r="I95">
        <v>55796</v>
      </c>
      <c r="J95">
        <v>54826</v>
      </c>
      <c r="K95">
        <v>264</v>
      </c>
      <c r="L95" t="s">
        <v>37</v>
      </c>
      <c r="M95" t="s">
        <v>31</v>
      </c>
      <c r="N95" s="4">
        <f t="shared" si="1"/>
        <v>20.93967309484551</v>
      </c>
      <c r="O95" s="10">
        <f>SUM(Posts_2[[#This Row],[Likes]:[Comments]])</f>
        <v>4735</v>
      </c>
    </row>
    <row r="96" spans="1:15" x14ac:dyDescent="0.3">
      <c r="A96" t="s">
        <v>39</v>
      </c>
      <c r="B96" t="s">
        <v>27</v>
      </c>
      <c r="C96" s="3">
        <v>45469</v>
      </c>
      <c r="D96" t="s">
        <v>16</v>
      </c>
      <c r="E96" t="s">
        <v>29</v>
      </c>
      <c r="F96">
        <v>3557</v>
      </c>
      <c r="G96">
        <v>687</v>
      </c>
      <c r="H96">
        <v>424</v>
      </c>
      <c r="I96">
        <v>71140</v>
      </c>
      <c r="J96">
        <v>70701</v>
      </c>
      <c r="K96">
        <v>224</v>
      </c>
      <c r="L96" t="s">
        <v>37</v>
      </c>
      <c r="M96" t="s">
        <v>19</v>
      </c>
      <c r="N96" s="4">
        <f t="shared" si="1"/>
        <v>16.423249929716054</v>
      </c>
      <c r="O96" s="10">
        <f>SUM(Posts_2[[#This Row],[Likes]:[Comments]])</f>
        <v>4668</v>
      </c>
    </row>
    <row r="97" spans="1:15" x14ac:dyDescent="0.3">
      <c r="A97" t="s">
        <v>39</v>
      </c>
      <c r="B97" t="s">
        <v>27</v>
      </c>
      <c r="C97" s="3">
        <v>45469</v>
      </c>
      <c r="D97" t="s">
        <v>16</v>
      </c>
      <c r="E97" t="s">
        <v>29</v>
      </c>
      <c r="F97">
        <v>3557</v>
      </c>
      <c r="G97">
        <v>687</v>
      </c>
      <c r="H97">
        <v>424</v>
      </c>
      <c r="I97">
        <v>71140</v>
      </c>
      <c r="J97">
        <v>70701</v>
      </c>
      <c r="K97">
        <v>224</v>
      </c>
      <c r="L97" t="s">
        <v>30</v>
      </c>
      <c r="M97" t="s">
        <v>19</v>
      </c>
      <c r="N97" s="4">
        <f t="shared" si="1"/>
        <v>16.423249929716054</v>
      </c>
      <c r="O97" s="10">
        <f>SUM(Posts_2[[#This Row],[Likes]:[Comments]])</f>
        <v>4668</v>
      </c>
    </row>
    <row r="98" spans="1:15" x14ac:dyDescent="0.3">
      <c r="A98" t="s">
        <v>363</v>
      </c>
      <c r="B98" t="s">
        <v>14</v>
      </c>
      <c r="C98" s="3">
        <v>45775</v>
      </c>
      <c r="D98" t="s">
        <v>22</v>
      </c>
      <c r="E98" t="s">
        <v>23</v>
      </c>
      <c r="F98">
        <v>3577</v>
      </c>
      <c r="G98">
        <v>596</v>
      </c>
      <c r="H98">
        <v>493</v>
      </c>
      <c r="I98">
        <v>67963</v>
      </c>
      <c r="J98">
        <v>67839</v>
      </c>
      <c r="K98">
        <v>53</v>
      </c>
      <c r="L98" t="s">
        <v>30</v>
      </c>
      <c r="M98" t="s">
        <v>31</v>
      </c>
      <c r="N98" s="4">
        <f t="shared" si="1"/>
        <v>17.190971558053647</v>
      </c>
      <c r="O98" s="10">
        <f>SUM(Posts_2[[#This Row],[Likes]:[Comments]])</f>
        <v>4666</v>
      </c>
    </row>
    <row r="99" spans="1:15" x14ac:dyDescent="0.3">
      <c r="A99" t="s">
        <v>72</v>
      </c>
      <c r="B99" t="s">
        <v>43</v>
      </c>
      <c r="C99" s="3">
        <v>45589</v>
      </c>
      <c r="D99" t="s">
        <v>74</v>
      </c>
      <c r="E99" t="s">
        <v>75</v>
      </c>
      <c r="F99">
        <v>3888</v>
      </c>
      <c r="G99">
        <v>604</v>
      </c>
      <c r="H99">
        <v>128</v>
      </c>
      <c r="I99">
        <v>77760</v>
      </c>
      <c r="J99">
        <v>77167</v>
      </c>
      <c r="K99">
        <v>20</v>
      </c>
      <c r="L99" t="s">
        <v>62</v>
      </c>
      <c r="M99" t="s">
        <v>19</v>
      </c>
      <c r="N99" s="4">
        <f t="shared" si="1"/>
        <v>15.025077160493828</v>
      </c>
      <c r="O99" s="10">
        <f>SUM(Posts_2[[#This Row],[Likes]:[Comments]])</f>
        <v>4620</v>
      </c>
    </row>
    <row r="100" spans="1:15" x14ac:dyDescent="0.3">
      <c r="A100" t="s">
        <v>492</v>
      </c>
      <c r="B100" t="s">
        <v>14</v>
      </c>
      <c r="C100" s="3">
        <v>45507</v>
      </c>
      <c r="D100" t="s">
        <v>16</v>
      </c>
      <c r="E100" t="s">
        <v>17</v>
      </c>
      <c r="F100">
        <v>3791</v>
      </c>
      <c r="G100">
        <v>593</v>
      </c>
      <c r="H100">
        <v>228</v>
      </c>
      <c r="I100">
        <v>53074</v>
      </c>
      <c r="J100">
        <v>52613</v>
      </c>
      <c r="K100">
        <v>205</v>
      </c>
      <c r="L100" t="s">
        <v>37</v>
      </c>
      <c r="M100" t="s">
        <v>620</v>
      </c>
      <c r="N100" s="4">
        <f t="shared" si="1"/>
        <v>22.013603647737121</v>
      </c>
      <c r="O100" s="10">
        <f>SUM(Posts_2[[#This Row],[Likes]:[Comments]])</f>
        <v>4612</v>
      </c>
    </row>
    <row r="101" spans="1:15" x14ac:dyDescent="0.3">
      <c r="A101" t="s">
        <v>294</v>
      </c>
      <c r="B101" t="s">
        <v>33</v>
      </c>
      <c r="C101" s="3">
        <v>45744</v>
      </c>
      <c r="D101" t="s">
        <v>45</v>
      </c>
      <c r="E101" t="s">
        <v>88</v>
      </c>
      <c r="F101">
        <v>4158</v>
      </c>
      <c r="G101">
        <v>167</v>
      </c>
      <c r="H101">
        <v>241</v>
      </c>
      <c r="I101">
        <v>45738</v>
      </c>
      <c r="J101">
        <v>45183</v>
      </c>
      <c r="K101">
        <v>142</v>
      </c>
      <c r="L101" t="s">
        <v>62</v>
      </c>
      <c r="M101" t="s">
        <v>620</v>
      </c>
      <c r="N101" s="4">
        <f t="shared" si="1"/>
        <v>25.544405089859634</v>
      </c>
      <c r="O101" s="10">
        <f>SUM(Posts_2[[#This Row],[Likes]:[Comments]])</f>
        <v>4566</v>
      </c>
    </row>
    <row r="102" spans="1:15" x14ac:dyDescent="0.3">
      <c r="A102" t="s">
        <v>295</v>
      </c>
      <c r="B102" t="s">
        <v>43</v>
      </c>
      <c r="C102" s="3">
        <v>45684</v>
      </c>
      <c r="D102" t="s">
        <v>16</v>
      </c>
      <c r="E102" t="s">
        <v>65</v>
      </c>
      <c r="F102">
        <v>3452</v>
      </c>
      <c r="G102">
        <v>652</v>
      </c>
      <c r="H102">
        <v>442</v>
      </c>
      <c r="I102">
        <v>65588</v>
      </c>
      <c r="J102">
        <v>65049</v>
      </c>
      <c r="K102">
        <v>158</v>
      </c>
      <c r="L102" t="s">
        <v>62</v>
      </c>
      <c r="M102" t="s">
        <v>31</v>
      </c>
      <c r="N102" s="4">
        <f t="shared" si="1"/>
        <v>17.813471976581081</v>
      </c>
      <c r="O102" s="10">
        <f>SUM(Posts_2[[#This Row],[Likes]:[Comments]])</f>
        <v>4546</v>
      </c>
    </row>
    <row r="103" spans="1:15" x14ac:dyDescent="0.3">
      <c r="A103" t="s">
        <v>496</v>
      </c>
      <c r="B103" t="s">
        <v>43</v>
      </c>
      <c r="C103" s="3">
        <v>45750</v>
      </c>
      <c r="D103" t="s">
        <v>35</v>
      </c>
      <c r="E103" t="s">
        <v>71</v>
      </c>
      <c r="F103">
        <v>3767</v>
      </c>
      <c r="G103">
        <v>514</v>
      </c>
      <c r="H103">
        <v>238</v>
      </c>
      <c r="I103">
        <v>37670</v>
      </c>
      <c r="J103">
        <v>36807</v>
      </c>
      <c r="K103">
        <v>226</v>
      </c>
      <c r="L103" t="s">
        <v>62</v>
      </c>
      <c r="M103" t="s">
        <v>38</v>
      </c>
      <c r="N103" s="4">
        <f t="shared" si="1"/>
        <v>31.015396867533848</v>
      </c>
      <c r="O103" s="10">
        <f>SUM(Posts_2[[#This Row],[Likes]:[Comments]])</f>
        <v>4519</v>
      </c>
    </row>
    <row r="104" spans="1:15" x14ac:dyDescent="0.3">
      <c r="A104" t="s">
        <v>464</v>
      </c>
      <c r="B104" t="s">
        <v>43</v>
      </c>
      <c r="C104" s="3">
        <v>45648</v>
      </c>
      <c r="D104" t="s">
        <v>52</v>
      </c>
      <c r="E104" t="s">
        <v>59</v>
      </c>
      <c r="F104">
        <v>3196</v>
      </c>
      <c r="G104">
        <v>941</v>
      </c>
      <c r="H104">
        <v>376</v>
      </c>
      <c r="I104">
        <v>35156</v>
      </c>
      <c r="J104">
        <v>34444</v>
      </c>
      <c r="K104">
        <v>241</v>
      </c>
      <c r="L104" t="s">
        <v>30</v>
      </c>
      <c r="M104" t="s">
        <v>31</v>
      </c>
      <c r="N104" s="4">
        <f t="shared" si="1"/>
        <v>33.233302992376835</v>
      </c>
      <c r="O104" s="10">
        <f>SUM(Posts_2[[#This Row],[Likes]:[Comments]])</f>
        <v>4513</v>
      </c>
    </row>
    <row r="105" spans="1:15" x14ac:dyDescent="0.3">
      <c r="A105" t="s">
        <v>255</v>
      </c>
      <c r="B105" t="s">
        <v>27</v>
      </c>
      <c r="C105" s="3">
        <v>45739</v>
      </c>
      <c r="D105" t="s">
        <v>35</v>
      </c>
      <c r="E105" t="s">
        <v>154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t="s">
        <v>30</v>
      </c>
      <c r="M105" t="s">
        <v>31</v>
      </c>
      <c r="N105" s="4">
        <f t="shared" si="1"/>
        <v>35.517555859553127</v>
      </c>
      <c r="O105" s="10">
        <f>SUM(Posts_2[[#This Row],[Likes]:[Comments]])</f>
        <v>4509</v>
      </c>
    </row>
    <row r="106" spans="1:15" x14ac:dyDescent="0.3">
      <c r="A106" t="s">
        <v>50</v>
      </c>
      <c r="B106" t="s">
        <v>27</v>
      </c>
      <c r="C106" s="3">
        <v>45486</v>
      </c>
      <c r="D106" t="s">
        <v>52</v>
      </c>
      <c r="E106" t="s">
        <v>53</v>
      </c>
      <c r="F106">
        <v>3929</v>
      </c>
      <c r="G106">
        <v>262</v>
      </c>
      <c r="H106">
        <v>278</v>
      </c>
      <c r="I106">
        <v>43219</v>
      </c>
      <c r="J106">
        <v>42841</v>
      </c>
      <c r="K106">
        <v>39</v>
      </c>
      <c r="L106" t="s">
        <v>37</v>
      </c>
      <c r="M106" t="s">
        <v>38</v>
      </c>
      <c r="N106" s="4">
        <f t="shared" si="1"/>
        <v>27.033249265369399</v>
      </c>
      <c r="O106" s="10">
        <f>SUM(Posts_2[[#This Row],[Likes]:[Comments]])</f>
        <v>4469</v>
      </c>
    </row>
    <row r="107" spans="1:15" x14ac:dyDescent="0.3">
      <c r="A107" t="s">
        <v>308</v>
      </c>
      <c r="B107" t="s">
        <v>33</v>
      </c>
      <c r="C107" s="3">
        <v>45484</v>
      </c>
      <c r="D107" t="s">
        <v>22</v>
      </c>
      <c r="E107" t="s">
        <v>113</v>
      </c>
      <c r="F107">
        <v>3134</v>
      </c>
      <c r="G107">
        <v>888</v>
      </c>
      <c r="H107">
        <v>444</v>
      </c>
      <c r="I107">
        <v>21938</v>
      </c>
      <c r="J107">
        <v>21337</v>
      </c>
      <c r="K107">
        <v>130</v>
      </c>
      <c r="L107" t="s">
        <v>37</v>
      </c>
      <c r="M107" t="s">
        <v>38</v>
      </c>
      <c r="N107" s="4">
        <f t="shared" si="1"/>
        <v>53.256905825508248</v>
      </c>
      <c r="O107" s="10">
        <f>SUM(Posts_2[[#This Row],[Likes]:[Comments]])</f>
        <v>4466</v>
      </c>
    </row>
    <row r="108" spans="1:15" x14ac:dyDescent="0.3">
      <c r="A108" t="s">
        <v>522</v>
      </c>
      <c r="B108" t="s">
        <v>33</v>
      </c>
      <c r="C108" s="3">
        <v>45582</v>
      </c>
      <c r="D108" t="s">
        <v>74</v>
      </c>
      <c r="E108" t="s">
        <v>85</v>
      </c>
      <c r="F108">
        <v>3575</v>
      </c>
      <c r="G108">
        <v>749</v>
      </c>
      <c r="H108">
        <v>111</v>
      </c>
      <c r="I108">
        <v>21450</v>
      </c>
      <c r="J108">
        <v>20785</v>
      </c>
      <c r="K108">
        <v>195</v>
      </c>
      <c r="L108" t="s">
        <v>37</v>
      </c>
      <c r="M108" t="s">
        <v>25</v>
      </c>
      <c r="N108" s="4">
        <f t="shared" si="1"/>
        <v>54.468531468531467</v>
      </c>
      <c r="O108" s="10">
        <f>SUM(Posts_2[[#This Row],[Likes]:[Comments]])</f>
        <v>4435</v>
      </c>
    </row>
    <row r="109" spans="1:15" x14ac:dyDescent="0.3">
      <c r="A109" t="s">
        <v>288</v>
      </c>
      <c r="B109" t="s">
        <v>33</v>
      </c>
      <c r="C109" s="3">
        <v>45567</v>
      </c>
      <c r="D109" t="s">
        <v>22</v>
      </c>
      <c r="E109" t="s">
        <v>113</v>
      </c>
      <c r="F109">
        <v>3432</v>
      </c>
      <c r="G109">
        <v>869</v>
      </c>
      <c r="H109">
        <v>123</v>
      </c>
      <c r="I109">
        <v>54912</v>
      </c>
      <c r="J109">
        <v>53916</v>
      </c>
      <c r="K109">
        <v>264</v>
      </c>
      <c r="L109" t="s">
        <v>37</v>
      </c>
      <c r="M109" t="s">
        <v>25</v>
      </c>
      <c r="N109" s="4">
        <f t="shared" si="1"/>
        <v>21.276770104895103</v>
      </c>
      <c r="O109" s="10">
        <f>SUM(Posts_2[[#This Row],[Likes]:[Comments]])</f>
        <v>4424</v>
      </c>
    </row>
    <row r="110" spans="1:15" x14ac:dyDescent="0.3">
      <c r="A110" t="s">
        <v>411</v>
      </c>
      <c r="B110" t="s">
        <v>43</v>
      </c>
      <c r="C110" s="3">
        <v>45754</v>
      </c>
      <c r="D110" t="s">
        <v>16</v>
      </c>
      <c r="E110" t="s">
        <v>65</v>
      </c>
      <c r="F110">
        <v>3718</v>
      </c>
      <c r="G110">
        <v>385</v>
      </c>
      <c r="H110">
        <v>310</v>
      </c>
      <c r="I110">
        <v>70642</v>
      </c>
      <c r="J110">
        <v>69749</v>
      </c>
      <c r="K110">
        <v>233</v>
      </c>
      <c r="L110" t="s">
        <v>30</v>
      </c>
      <c r="M110" t="s">
        <v>25</v>
      </c>
      <c r="N110" s="4">
        <f t="shared" si="1"/>
        <v>16.539027773845589</v>
      </c>
      <c r="O110" s="10">
        <f>SUM(Posts_2[[#This Row],[Likes]:[Comments]])</f>
        <v>4413</v>
      </c>
    </row>
    <row r="111" spans="1:15" x14ac:dyDescent="0.3">
      <c r="A111" t="s">
        <v>317</v>
      </c>
      <c r="B111" t="s">
        <v>14</v>
      </c>
      <c r="C111" s="3">
        <v>45535</v>
      </c>
      <c r="D111" t="s">
        <v>52</v>
      </c>
      <c r="E111" t="s">
        <v>132</v>
      </c>
      <c r="F111">
        <v>3170</v>
      </c>
      <c r="G111">
        <v>857</v>
      </c>
      <c r="H111">
        <v>379</v>
      </c>
      <c r="I111">
        <v>19020</v>
      </c>
      <c r="J111">
        <v>18559</v>
      </c>
      <c r="K111">
        <v>240</v>
      </c>
      <c r="L111" t="s">
        <v>62</v>
      </c>
      <c r="M111" t="s">
        <v>620</v>
      </c>
      <c r="N111" s="4">
        <f t="shared" si="1"/>
        <v>61.427444794952685</v>
      </c>
      <c r="O111" s="10">
        <f>SUM(Posts_2[[#This Row],[Likes]:[Comments]])</f>
        <v>4406</v>
      </c>
    </row>
    <row r="112" spans="1:15" x14ac:dyDescent="0.3">
      <c r="A112" t="s">
        <v>394</v>
      </c>
      <c r="B112" t="s">
        <v>43</v>
      </c>
      <c r="C112" s="3">
        <v>45740</v>
      </c>
      <c r="D112" t="s">
        <v>16</v>
      </c>
      <c r="E112" t="s">
        <v>65</v>
      </c>
      <c r="F112">
        <v>3360</v>
      </c>
      <c r="G112">
        <v>525</v>
      </c>
      <c r="H112">
        <v>500</v>
      </c>
      <c r="I112">
        <v>60480</v>
      </c>
      <c r="J112">
        <v>59610</v>
      </c>
      <c r="K112">
        <v>192</v>
      </c>
      <c r="L112" t="s">
        <v>30</v>
      </c>
      <c r="M112" t="s">
        <v>19</v>
      </c>
      <c r="N112" s="4">
        <f t="shared" si="1"/>
        <v>19.317956349206348</v>
      </c>
      <c r="O112" s="10">
        <f>SUM(Posts_2[[#This Row],[Likes]:[Comments]])</f>
        <v>4385</v>
      </c>
    </row>
    <row r="113" spans="1:15" x14ac:dyDescent="0.3">
      <c r="A113" t="s">
        <v>386</v>
      </c>
      <c r="B113" t="s">
        <v>14</v>
      </c>
      <c r="C113" s="3">
        <v>45501</v>
      </c>
      <c r="D113" t="s">
        <v>52</v>
      </c>
      <c r="E113" t="s">
        <v>132</v>
      </c>
      <c r="F113">
        <v>3215</v>
      </c>
      <c r="G113">
        <v>960</v>
      </c>
      <c r="H113">
        <v>202</v>
      </c>
      <c r="I113">
        <v>32150</v>
      </c>
      <c r="J113">
        <v>31404</v>
      </c>
      <c r="K113">
        <v>251</v>
      </c>
      <c r="L113" t="s">
        <v>37</v>
      </c>
      <c r="M113" t="s">
        <v>19</v>
      </c>
      <c r="N113" s="4">
        <f t="shared" si="1"/>
        <v>36.34059097978227</v>
      </c>
      <c r="O113" s="10">
        <f>SUM(Posts_2[[#This Row],[Likes]:[Comments]])</f>
        <v>4377</v>
      </c>
    </row>
    <row r="114" spans="1:15" x14ac:dyDescent="0.3">
      <c r="A114" t="s">
        <v>500</v>
      </c>
      <c r="B114" t="s">
        <v>33</v>
      </c>
      <c r="C114" s="3">
        <v>45509</v>
      </c>
      <c r="D114" t="s">
        <v>35</v>
      </c>
      <c r="E114" t="s">
        <v>36</v>
      </c>
      <c r="F114">
        <v>3601</v>
      </c>
      <c r="G114">
        <v>695</v>
      </c>
      <c r="H114">
        <v>75</v>
      </c>
      <c r="I114">
        <v>21606</v>
      </c>
      <c r="J114">
        <v>21454</v>
      </c>
      <c r="K114">
        <v>172</v>
      </c>
      <c r="L114" t="s">
        <v>37</v>
      </c>
      <c r="M114" t="s">
        <v>25</v>
      </c>
      <c r="N114" s="4">
        <f t="shared" si="1"/>
        <v>54.075256873090808</v>
      </c>
      <c r="O114" s="10">
        <f>SUM(Posts_2[[#This Row],[Likes]:[Comments]])</f>
        <v>4371</v>
      </c>
    </row>
    <row r="115" spans="1:15" x14ac:dyDescent="0.3">
      <c r="A115" t="s">
        <v>128</v>
      </c>
      <c r="B115" t="s">
        <v>43</v>
      </c>
      <c r="C115" s="3">
        <v>45621</v>
      </c>
      <c r="D115" t="s">
        <v>52</v>
      </c>
      <c r="E115" t="s">
        <v>59</v>
      </c>
      <c r="F115">
        <v>3564</v>
      </c>
      <c r="G115">
        <v>629</v>
      </c>
      <c r="H115">
        <v>177</v>
      </c>
      <c r="I115">
        <v>60588</v>
      </c>
      <c r="J115">
        <v>59627</v>
      </c>
      <c r="K115">
        <v>92</v>
      </c>
      <c r="L115" t="s">
        <v>30</v>
      </c>
      <c r="M115" t="s">
        <v>620</v>
      </c>
      <c r="N115" s="4">
        <f t="shared" si="1"/>
        <v>19.283521489403842</v>
      </c>
      <c r="O115" s="10">
        <f>SUM(Posts_2[[#This Row],[Likes]:[Comments]])</f>
        <v>4370</v>
      </c>
    </row>
    <row r="116" spans="1:15" x14ac:dyDescent="0.3">
      <c r="A116" t="s">
        <v>380</v>
      </c>
      <c r="B116" t="s">
        <v>27</v>
      </c>
      <c r="C116" s="3">
        <v>45629</v>
      </c>
      <c r="D116" t="s">
        <v>22</v>
      </c>
      <c r="E116" t="s">
        <v>104</v>
      </c>
      <c r="F116">
        <v>3711</v>
      </c>
      <c r="G116">
        <v>352</v>
      </c>
      <c r="H116">
        <v>290</v>
      </c>
      <c r="I116">
        <v>48243</v>
      </c>
      <c r="J116">
        <v>47579</v>
      </c>
      <c r="K116">
        <v>11</v>
      </c>
      <c r="L116" t="s">
        <v>30</v>
      </c>
      <c r="M116" t="s">
        <v>19</v>
      </c>
      <c r="N116" s="4">
        <f t="shared" si="1"/>
        <v>24.21802126733412</v>
      </c>
      <c r="O116" s="10">
        <f>SUM(Posts_2[[#This Row],[Likes]:[Comments]])</f>
        <v>4353</v>
      </c>
    </row>
    <row r="117" spans="1:15" x14ac:dyDescent="0.3">
      <c r="A117" t="s">
        <v>279</v>
      </c>
      <c r="B117" t="s">
        <v>27</v>
      </c>
      <c r="C117" s="3">
        <v>45734</v>
      </c>
      <c r="D117" t="s">
        <v>16</v>
      </c>
      <c r="E117" t="s">
        <v>29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t="s">
        <v>30</v>
      </c>
      <c r="M117" t="s">
        <v>620</v>
      </c>
      <c r="N117" s="4">
        <f t="shared" si="1"/>
        <v>45.061323665535326</v>
      </c>
      <c r="O117" s="10">
        <f>SUM(Posts_2[[#This Row],[Likes]:[Comments]])</f>
        <v>4348</v>
      </c>
    </row>
    <row r="118" spans="1:15" x14ac:dyDescent="0.3">
      <c r="A118" t="s">
        <v>47</v>
      </c>
      <c r="B118" t="s">
        <v>14</v>
      </c>
      <c r="C118" s="3">
        <v>45467</v>
      </c>
      <c r="D118" t="s">
        <v>45</v>
      </c>
      <c r="E118" t="s">
        <v>49</v>
      </c>
      <c r="F118">
        <v>3860</v>
      </c>
      <c r="G118">
        <v>201</v>
      </c>
      <c r="H118">
        <v>279</v>
      </c>
      <c r="I118">
        <v>61760</v>
      </c>
      <c r="J118">
        <v>61660</v>
      </c>
      <c r="K118">
        <v>235</v>
      </c>
      <c r="L118" t="s">
        <v>30</v>
      </c>
      <c r="M118" t="s">
        <v>25</v>
      </c>
      <c r="N118" s="4">
        <f t="shared" si="1"/>
        <v>18.917584196891191</v>
      </c>
      <c r="O118" s="10">
        <f>SUM(Posts_2[[#This Row],[Likes]:[Comments]])</f>
        <v>4340</v>
      </c>
    </row>
    <row r="119" spans="1:15" x14ac:dyDescent="0.3">
      <c r="A119" t="s">
        <v>124</v>
      </c>
      <c r="B119" t="s">
        <v>43</v>
      </c>
      <c r="C119" s="3">
        <v>45663</v>
      </c>
      <c r="D119" t="s">
        <v>45</v>
      </c>
      <c r="E119" t="s">
        <v>46</v>
      </c>
      <c r="F119">
        <v>3024</v>
      </c>
      <c r="G119">
        <v>925</v>
      </c>
      <c r="H119">
        <v>350</v>
      </c>
      <c r="I119">
        <v>24192</v>
      </c>
      <c r="J119">
        <v>23518</v>
      </c>
      <c r="K119">
        <v>36</v>
      </c>
      <c r="L119" t="s">
        <v>37</v>
      </c>
      <c r="M119" t="s">
        <v>25</v>
      </c>
      <c r="N119" s="4">
        <f t="shared" si="1"/>
        <v>48.294890873015873</v>
      </c>
      <c r="O119" s="10">
        <f>SUM(Posts_2[[#This Row],[Likes]:[Comments]])</f>
        <v>4299</v>
      </c>
    </row>
    <row r="120" spans="1:15" x14ac:dyDescent="0.3">
      <c r="A120" t="s">
        <v>516</v>
      </c>
      <c r="B120" t="s">
        <v>14</v>
      </c>
      <c r="C120" s="3">
        <v>45569</v>
      </c>
      <c r="D120" t="s">
        <v>16</v>
      </c>
      <c r="E120" t="s">
        <v>17</v>
      </c>
      <c r="F120">
        <v>4187</v>
      </c>
      <c r="G120">
        <v>66</v>
      </c>
      <c r="H120">
        <v>31</v>
      </c>
      <c r="I120">
        <v>66992</v>
      </c>
      <c r="J120">
        <v>66614</v>
      </c>
      <c r="K120">
        <v>62</v>
      </c>
      <c r="L120" t="s">
        <v>62</v>
      </c>
      <c r="M120" t="s">
        <v>620</v>
      </c>
      <c r="N120" s="4">
        <f t="shared" si="1"/>
        <v>17.440142106520181</v>
      </c>
      <c r="O120" s="10">
        <f>SUM(Posts_2[[#This Row],[Likes]:[Comments]])</f>
        <v>4284</v>
      </c>
    </row>
    <row r="121" spans="1:15" x14ac:dyDescent="0.3">
      <c r="A121" t="s">
        <v>361</v>
      </c>
      <c r="B121" t="s">
        <v>27</v>
      </c>
      <c r="C121" s="3">
        <v>45629</v>
      </c>
      <c r="D121" t="s">
        <v>74</v>
      </c>
      <c r="E121" t="s">
        <v>219</v>
      </c>
      <c r="F121">
        <v>3809</v>
      </c>
      <c r="G121">
        <v>273</v>
      </c>
      <c r="H121">
        <v>200</v>
      </c>
      <c r="I121">
        <v>34281</v>
      </c>
      <c r="J121">
        <v>33534</v>
      </c>
      <c r="K121">
        <v>83</v>
      </c>
      <c r="L121" t="s">
        <v>37</v>
      </c>
      <c r="M121" t="s">
        <v>19</v>
      </c>
      <c r="N121" s="4">
        <f t="shared" si="1"/>
        <v>34.081561214667019</v>
      </c>
      <c r="O121" s="10">
        <f>SUM(Posts_2[[#This Row],[Likes]:[Comments]])</f>
        <v>4282</v>
      </c>
    </row>
    <row r="122" spans="1:15" x14ac:dyDescent="0.3">
      <c r="A122" t="s">
        <v>265</v>
      </c>
      <c r="B122" t="s">
        <v>14</v>
      </c>
      <c r="C122" s="3">
        <v>45512</v>
      </c>
      <c r="D122" t="s">
        <v>35</v>
      </c>
      <c r="E122" t="s">
        <v>149</v>
      </c>
      <c r="F122">
        <v>3649</v>
      </c>
      <c r="G122">
        <v>215</v>
      </c>
      <c r="H122">
        <v>413</v>
      </c>
      <c r="I122">
        <v>25543</v>
      </c>
      <c r="J122">
        <v>24963</v>
      </c>
      <c r="K122">
        <v>167</v>
      </c>
      <c r="L122" t="s">
        <v>62</v>
      </c>
      <c r="M122" t="s">
        <v>31</v>
      </c>
      <c r="N122" s="4">
        <f t="shared" si="1"/>
        <v>45.740515992639864</v>
      </c>
      <c r="O122" s="10">
        <f>SUM(Posts_2[[#This Row],[Likes]:[Comments]])</f>
        <v>4277</v>
      </c>
    </row>
    <row r="123" spans="1:15" x14ac:dyDescent="0.3">
      <c r="A123" t="s">
        <v>483</v>
      </c>
      <c r="B123" t="s">
        <v>43</v>
      </c>
      <c r="C123" s="3">
        <v>45531</v>
      </c>
      <c r="D123" t="s">
        <v>16</v>
      </c>
      <c r="E123" t="s">
        <v>65</v>
      </c>
      <c r="F123">
        <v>3960</v>
      </c>
      <c r="G123">
        <v>266</v>
      </c>
      <c r="H123">
        <v>8</v>
      </c>
      <c r="I123">
        <v>35640</v>
      </c>
      <c r="J123">
        <v>34850</v>
      </c>
      <c r="K123">
        <v>208</v>
      </c>
      <c r="L123" t="s">
        <v>62</v>
      </c>
      <c r="M123" t="s">
        <v>620</v>
      </c>
      <c r="N123" s="4">
        <f t="shared" si="1"/>
        <v>32.781986531986533</v>
      </c>
      <c r="O123" s="10">
        <f>SUM(Posts_2[[#This Row],[Likes]:[Comments]])</f>
        <v>4234</v>
      </c>
    </row>
    <row r="124" spans="1:15" x14ac:dyDescent="0.3">
      <c r="A124" t="s">
        <v>483</v>
      </c>
      <c r="B124" t="s">
        <v>43</v>
      </c>
      <c r="C124" s="3">
        <v>45531</v>
      </c>
      <c r="D124" t="s">
        <v>16</v>
      </c>
      <c r="E124" t="s">
        <v>65</v>
      </c>
      <c r="F124">
        <v>3960</v>
      </c>
      <c r="G124">
        <v>266</v>
      </c>
      <c r="H124">
        <v>8</v>
      </c>
      <c r="I124">
        <v>35640</v>
      </c>
      <c r="J124">
        <v>34850</v>
      </c>
      <c r="K124">
        <v>208</v>
      </c>
      <c r="L124" t="s">
        <v>37</v>
      </c>
      <c r="M124" t="s">
        <v>620</v>
      </c>
      <c r="N124" s="4">
        <f t="shared" si="1"/>
        <v>32.781986531986533</v>
      </c>
      <c r="O124" s="10">
        <f>SUM(Posts_2[[#This Row],[Likes]:[Comments]])</f>
        <v>4234</v>
      </c>
    </row>
    <row r="125" spans="1:15" x14ac:dyDescent="0.3">
      <c r="A125" t="s">
        <v>483</v>
      </c>
      <c r="B125" t="s">
        <v>43</v>
      </c>
      <c r="C125" s="3">
        <v>45531</v>
      </c>
      <c r="D125" t="s">
        <v>16</v>
      </c>
      <c r="E125" t="s">
        <v>65</v>
      </c>
      <c r="F125">
        <v>3960</v>
      </c>
      <c r="G125">
        <v>266</v>
      </c>
      <c r="H125">
        <v>8</v>
      </c>
      <c r="I125">
        <v>35640</v>
      </c>
      <c r="J125">
        <v>34850</v>
      </c>
      <c r="K125">
        <v>208</v>
      </c>
      <c r="L125" t="s">
        <v>613</v>
      </c>
      <c r="M125" t="s">
        <v>620</v>
      </c>
      <c r="N125" s="4">
        <f t="shared" si="1"/>
        <v>32.781986531986533</v>
      </c>
      <c r="O125" s="10">
        <f>SUM(Posts_2[[#This Row],[Likes]:[Comments]])</f>
        <v>4234</v>
      </c>
    </row>
    <row r="126" spans="1:15" x14ac:dyDescent="0.3">
      <c r="A126" t="s">
        <v>42</v>
      </c>
      <c r="B126" t="s">
        <v>43</v>
      </c>
      <c r="C126" s="3">
        <v>45596</v>
      </c>
      <c r="D126" t="s">
        <v>45</v>
      </c>
      <c r="E126" t="s">
        <v>46</v>
      </c>
      <c r="F126">
        <v>2945</v>
      </c>
      <c r="G126">
        <v>930</v>
      </c>
      <c r="H126">
        <v>355</v>
      </c>
      <c r="I126">
        <v>23560</v>
      </c>
      <c r="J126">
        <v>23275</v>
      </c>
      <c r="K126">
        <v>256</v>
      </c>
      <c r="L126" t="s">
        <v>30</v>
      </c>
      <c r="M126" t="s">
        <v>25</v>
      </c>
      <c r="N126" s="4">
        <f t="shared" si="1"/>
        <v>49.590407470288625</v>
      </c>
      <c r="O126" s="10">
        <f>SUM(Posts_2[[#This Row],[Likes]:[Comments]])</f>
        <v>4230</v>
      </c>
    </row>
    <row r="127" spans="1:15" x14ac:dyDescent="0.3">
      <c r="A127" t="s">
        <v>371</v>
      </c>
      <c r="B127" t="s">
        <v>43</v>
      </c>
      <c r="C127" s="3">
        <v>45465</v>
      </c>
      <c r="D127" t="s">
        <v>22</v>
      </c>
      <c r="E127" t="s">
        <v>56</v>
      </c>
      <c r="F127">
        <v>3828</v>
      </c>
      <c r="G127">
        <v>148</v>
      </c>
      <c r="H127">
        <v>253</v>
      </c>
      <c r="I127">
        <v>30624</v>
      </c>
      <c r="J127">
        <v>30229</v>
      </c>
      <c r="K127">
        <v>235</v>
      </c>
      <c r="L127" t="s">
        <v>37</v>
      </c>
      <c r="M127" t="s">
        <v>620</v>
      </c>
      <c r="N127" s="4">
        <f t="shared" si="1"/>
        <v>38.151449843260188</v>
      </c>
      <c r="O127" s="10">
        <f>SUM(Posts_2[[#This Row],[Likes]:[Comments]])</f>
        <v>4229</v>
      </c>
    </row>
    <row r="128" spans="1:15" x14ac:dyDescent="0.3">
      <c r="A128" t="s">
        <v>76</v>
      </c>
      <c r="B128" t="s">
        <v>43</v>
      </c>
      <c r="C128" s="3">
        <v>45530</v>
      </c>
      <c r="D128" t="s">
        <v>22</v>
      </c>
      <c r="E128" t="s">
        <v>56</v>
      </c>
      <c r="F128">
        <v>3452</v>
      </c>
      <c r="G128">
        <v>377</v>
      </c>
      <c r="H128">
        <v>360</v>
      </c>
      <c r="I128">
        <v>55232</v>
      </c>
      <c r="J128">
        <v>55075</v>
      </c>
      <c r="K128">
        <v>87</v>
      </c>
      <c r="L128" t="s">
        <v>62</v>
      </c>
      <c r="M128" t="s">
        <v>31</v>
      </c>
      <c r="N128" s="4">
        <f t="shared" si="1"/>
        <v>21.153497972190035</v>
      </c>
      <c r="O128" s="10">
        <f>SUM(Posts_2[[#This Row],[Likes]:[Comments]])</f>
        <v>4189</v>
      </c>
    </row>
    <row r="129" spans="1:15" x14ac:dyDescent="0.3">
      <c r="A129" t="s">
        <v>527</v>
      </c>
      <c r="B129" t="s">
        <v>14</v>
      </c>
      <c r="C129" s="3">
        <v>45658</v>
      </c>
      <c r="D129" t="s">
        <v>45</v>
      </c>
      <c r="E129" t="s">
        <v>49</v>
      </c>
      <c r="F129">
        <v>3535</v>
      </c>
      <c r="G129">
        <v>494</v>
      </c>
      <c r="H129">
        <v>152</v>
      </c>
      <c r="I129">
        <v>53025</v>
      </c>
      <c r="J129">
        <v>52791</v>
      </c>
      <c r="K129">
        <v>44</v>
      </c>
      <c r="L129" t="s">
        <v>30</v>
      </c>
      <c r="M129" t="s">
        <v>38</v>
      </c>
      <c r="N129" s="4">
        <f t="shared" si="1"/>
        <v>22.033946251768032</v>
      </c>
      <c r="O129" s="10">
        <f>SUM(Posts_2[[#This Row],[Likes]:[Comments]])</f>
        <v>4181</v>
      </c>
    </row>
    <row r="130" spans="1:15" x14ac:dyDescent="0.3">
      <c r="A130" t="s">
        <v>351</v>
      </c>
      <c r="B130" t="s">
        <v>43</v>
      </c>
      <c r="C130" s="3">
        <v>45748</v>
      </c>
      <c r="D130" t="s">
        <v>35</v>
      </c>
      <c r="E130" t="s">
        <v>71</v>
      </c>
      <c r="F130">
        <v>3430</v>
      </c>
      <c r="G130">
        <v>566</v>
      </c>
      <c r="H130">
        <v>164</v>
      </c>
      <c r="I130">
        <v>48020</v>
      </c>
      <c r="J130">
        <v>47305</v>
      </c>
      <c r="K130">
        <v>120</v>
      </c>
      <c r="L130" t="s">
        <v>62</v>
      </c>
      <c r="M130" t="s">
        <v>620</v>
      </c>
      <c r="N130" s="4">
        <f t="shared" ref="N130:N193" si="2">SUM(F:H)/I:I</f>
        <v>24.3304872969596</v>
      </c>
      <c r="O130" s="10">
        <f>SUM(Posts_2[[#This Row],[Likes]:[Comments]])</f>
        <v>4160</v>
      </c>
    </row>
    <row r="131" spans="1:15" x14ac:dyDescent="0.3">
      <c r="A131" t="s">
        <v>417</v>
      </c>
      <c r="B131" t="s">
        <v>33</v>
      </c>
      <c r="C131" s="3">
        <v>45617</v>
      </c>
      <c r="D131" t="s">
        <v>45</v>
      </c>
      <c r="E131" t="s">
        <v>88</v>
      </c>
      <c r="F131">
        <v>3773</v>
      </c>
      <c r="G131">
        <v>299</v>
      </c>
      <c r="H131">
        <v>38</v>
      </c>
      <c r="I131">
        <v>71687</v>
      </c>
      <c r="J131">
        <v>71447</v>
      </c>
      <c r="K131">
        <v>286</v>
      </c>
      <c r="L131" t="s">
        <v>62</v>
      </c>
      <c r="M131" t="s">
        <v>19</v>
      </c>
      <c r="N131" s="4">
        <f t="shared" si="2"/>
        <v>16.297934074518391</v>
      </c>
      <c r="O131" s="10">
        <f>SUM(Posts_2[[#This Row],[Likes]:[Comments]])</f>
        <v>4110</v>
      </c>
    </row>
    <row r="132" spans="1:15" x14ac:dyDescent="0.3">
      <c r="A132" t="s">
        <v>374</v>
      </c>
      <c r="B132" t="s">
        <v>43</v>
      </c>
      <c r="C132" s="3">
        <v>45463</v>
      </c>
      <c r="D132" t="s">
        <v>74</v>
      </c>
      <c r="E132" t="s">
        <v>75</v>
      </c>
      <c r="F132">
        <v>3798</v>
      </c>
      <c r="G132">
        <v>31</v>
      </c>
      <c r="H132">
        <v>279</v>
      </c>
      <c r="I132">
        <v>75960</v>
      </c>
      <c r="J132">
        <v>75813</v>
      </c>
      <c r="K132">
        <v>266</v>
      </c>
      <c r="L132" t="s">
        <v>30</v>
      </c>
      <c r="M132" t="s">
        <v>19</v>
      </c>
      <c r="N132" s="4">
        <f t="shared" si="2"/>
        <v>15.381121642969985</v>
      </c>
      <c r="O132" s="10">
        <f>SUM(Posts_2[[#This Row],[Likes]:[Comments]])</f>
        <v>4108</v>
      </c>
    </row>
    <row r="133" spans="1:15" x14ac:dyDescent="0.3">
      <c r="A133" t="s">
        <v>521</v>
      </c>
      <c r="B133" t="s">
        <v>27</v>
      </c>
      <c r="C133" s="3">
        <v>45672</v>
      </c>
      <c r="D133" t="s">
        <v>16</v>
      </c>
      <c r="E133" t="s">
        <v>29</v>
      </c>
      <c r="F133">
        <v>3774</v>
      </c>
      <c r="G133">
        <v>239</v>
      </c>
      <c r="H133">
        <v>39</v>
      </c>
      <c r="I133">
        <v>60384</v>
      </c>
      <c r="J133">
        <v>59490</v>
      </c>
      <c r="K133">
        <v>241</v>
      </c>
      <c r="L133" t="s">
        <v>30</v>
      </c>
      <c r="M133" t="s">
        <v>31</v>
      </c>
      <c r="N133" s="4">
        <f t="shared" si="2"/>
        <v>19.348668521462638</v>
      </c>
      <c r="O133" s="10">
        <f>SUM(Posts_2[[#This Row],[Likes]:[Comments]])</f>
        <v>4052</v>
      </c>
    </row>
    <row r="134" spans="1:15" x14ac:dyDescent="0.3">
      <c r="A134" t="s">
        <v>253</v>
      </c>
      <c r="B134" t="s">
        <v>43</v>
      </c>
      <c r="C134" s="3">
        <v>45454</v>
      </c>
      <c r="D134" t="s">
        <v>52</v>
      </c>
      <c r="E134" t="s">
        <v>59</v>
      </c>
      <c r="F134">
        <v>3689</v>
      </c>
      <c r="G134">
        <v>48</v>
      </c>
      <c r="H134">
        <v>306</v>
      </c>
      <c r="I134">
        <v>40579</v>
      </c>
      <c r="J134">
        <v>39588</v>
      </c>
      <c r="K134">
        <v>212</v>
      </c>
      <c r="L134" t="s">
        <v>37</v>
      </c>
      <c r="M134" t="s">
        <v>25</v>
      </c>
      <c r="N134" s="4">
        <f t="shared" si="2"/>
        <v>28.791986002612187</v>
      </c>
      <c r="O134" s="10">
        <f>SUM(Posts_2[[#This Row],[Likes]:[Comments]])</f>
        <v>4043</v>
      </c>
    </row>
    <row r="135" spans="1:15" x14ac:dyDescent="0.3">
      <c r="A135" t="s">
        <v>120</v>
      </c>
      <c r="B135" t="s">
        <v>33</v>
      </c>
      <c r="C135" s="3">
        <v>45626</v>
      </c>
      <c r="D135" t="s">
        <v>74</v>
      </c>
      <c r="E135" t="s">
        <v>85</v>
      </c>
      <c r="F135">
        <v>3775</v>
      </c>
      <c r="G135">
        <v>16</v>
      </c>
      <c r="H135">
        <v>239</v>
      </c>
      <c r="I135">
        <v>33975</v>
      </c>
      <c r="J135">
        <v>33310</v>
      </c>
      <c r="K135">
        <v>271</v>
      </c>
      <c r="L135" t="s">
        <v>62</v>
      </c>
      <c r="M135" t="s">
        <v>25</v>
      </c>
      <c r="N135" s="4">
        <f t="shared" si="2"/>
        <v>34.388520971302427</v>
      </c>
      <c r="O135" s="10">
        <f>SUM(Posts_2[[#This Row],[Likes]:[Comments]])</f>
        <v>4030</v>
      </c>
    </row>
    <row r="136" spans="1:15" x14ac:dyDescent="0.3">
      <c r="A136" t="s">
        <v>304</v>
      </c>
      <c r="B136" t="s">
        <v>14</v>
      </c>
      <c r="C136" s="3">
        <v>45771</v>
      </c>
      <c r="D136" t="s">
        <v>16</v>
      </c>
      <c r="E136" t="s">
        <v>17</v>
      </c>
      <c r="F136">
        <v>3731</v>
      </c>
      <c r="G136">
        <v>115</v>
      </c>
      <c r="H136">
        <v>135</v>
      </c>
      <c r="I136">
        <v>55965</v>
      </c>
      <c r="J136">
        <v>55436</v>
      </c>
      <c r="K136">
        <v>103</v>
      </c>
      <c r="L136" t="s">
        <v>30</v>
      </c>
      <c r="M136" t="s">
        <v>19</v>
      </c>
      <c r="N136" s="4">
        <f t="shared" si="2"/>
        <v>20.876440632538195</v>
      </c>
      <c r="O136" s="10">
        <f>SUM(Posts_2[[#This Row],[Likes]:[Comments]])</f>
        <v>3981</v>
      </c>
    </row>
    <row r="137" spans="1:15" x14ac:dyDescent="0.3">
      <c r="A137" t="s">
        <v>326</v>
      </c>
      <c r="B137" t="s">
        <v>33</v>
      </c>
      <c r="C137" s="3">
        <v>45586</v>
      </c>
      <c r="D137" t="s">
        <v>16</v>
      </c>
      <c r="E137" t="s">
        <v>82</v>
      </c>
      <c r="F137">
        <v>3256</v>
      </c>
      <c r="G137">
        <v>459</v>
      </c>
      <c r="H137">
        <v>266</v>
      </c>
      <c r="I137">
        <v>26048</v>
      </c>
      <c r="J137">
        <v>25529</v>
      </c>
      <c r="K137">
        <v>143</v>
      </c>
      <c r="L137" t="s">
        <v>30</v>
      </c>
      <c r="M137" t="s">
        <v>25</v>
      </c>
      <c r="N137" s="4">
        <f t="shared" si="2"/>
        <v>44.853731572481571</v>
      </c>
      <c r="O137" s="10">
        <f>SUM(Posts_2[[#This Row],[Likes]:[Comments]])</f>
        <v>3981</v>
      </c>
    </row>
    <row r="138" spans="1:15" x14ac:dyDescent="0.3">
      <c r="A138" t="s">
        <v>323</v>
      </c>
      <c r="B138" t="s">
        <v>27</v>
      </c>
      <c r="C138" s="3">
        <v>45448</v>
      </c>
      <c r="D138" t="s">
        <v>16</v>
      </c>
      <c r="E138" t="s">
        <v>29</v>
      </c>
      <c r="F138">
        <v>3065</v>
      </c>
      <c r="G138">
        <v>772</v>
      </c>
      <c r="H138">
        <v>142</v>
      </c>
      <c r="I138">
        <v>18390</v>
      </c>
      <c r="J138">
        <v>17875</v>
      </c>
      <c r="K138">
        <v>200</v>
      </c>
      <c r="L138" t="s">
        <v>37</v>
      </c>
      <c r="M138" t="s">
        <v>620</v>
      </c>
      <c r="N138" s="4">
        <f t="shared" si="2"/>
        <v>63.531810766721044</v>
      </c>
      <c r="O138" s="10">
        <f>SUM(Posts_2[[#This Row],[Likes]:[Comments]])</f>
        <v>3979</v>
      </c>
    </row>
    <row r="139" spans="1:15" x14ac:dyDescent="0.3">
      <c r="A139" t="s">
        <v>323</v>
      </c>
      <c r="B139" t="s">
        <v>27</v>
      </c>
      <c r="C139" s="3">
        <v>45448</v>
      </c>
      <c r="D139" t="s">
        <v>16</v>
      </c>
      <c r="E139" t="s">
        <v>29</v>
      </c>
      <c r="F139">
        <v>3065</v>
      </c>
      <c r="G139">
        <v>772</v>
      </c>
      <c r="H139">
        <v>142</v>
      </c>
      <c r="I139">
        <v>18390</v>
      </c>
      <c r="J139">
        <v>17875</v>
      </c>
      <c r="K139">
        <v>200</v>
      </c>
      <c r="L139" t="s">
        <v>612</v>
      </c>
      <c r="M139" t="s">
        <v>620</v>
      </c>
      <c r="N139" s="4">
        <f t="shared" si="2"/>
        <v>63.531810766721044</v>
      </c>
      <c r="O139" s="10">
        <f>SUM(Posts_2[[#This Row],[Likes]:[Comments]])</f>
        <v>3979</v>
      </c>
    </row>
    <row r="140" spans="1:15" x14ac:dyDescent="0.3">
      <c r="A140" t="s">
        <v>457</v>
      </c>
      <c r="B140" t="s">
        <v>43</v>
      </c>
      <c r="C140" s="3">
        <v>45488</v>
      </c>
      <c r="D140" t="s">
        <v>16</v>
      </c>
      <c r="E140" t="s">
        <v>65</v>
      </c>
      <c r="F140">
        <v>3663</v>
      </c>
      <c r="G140">
        <v>17</v>
      </c>
      <c r="H140">
        <v>295</v>
      </c>
      <c r="I140">
        <v>51282</v>
      </c>
      <c r="J140">
        <v>50567</v>
      </c>
      <c r="K140">
        <v>84</v>
      </c>
      <c r="L140" t="s">
        <v>37</v>
      </c>
      <c r="M140" t="s">
        <v>31</v>
      </c>
      <c r="N140" s="4">
        <f t="shared" si="2"/>
        <v>22.782847782847782</v>
      </c>
      <c r="O140" s="10">
        <f>SUM(Posts_2[[#This Row],[Likes]:[Comments]])</f>
        <v>3975</v>
      </c>
    </row>
    <row r="141" spans="1:15" x14ac:dyDescent="0.3">
      <c r="A141" t="s">
        <v>376</v>
      </c>
      <c r="B141" t="s">
        <v>33</v>
      </c>
      <c r="C141" s="3">
        <v>45483</v>
      </c>
      <c r="D141" t="s">
        <v>45</v>
      </c>
      <c r="E141" t="s">
        <v>88</v>
      </c>
      <c r="F141">
        <v>3099</v>
      </c>
      <c r="G141">
        <v>694</v>
      </c>
      <c r="H141">
        <v>171</v>
      </c>
      <c r="I141">
        <v>43386</v>
      </c>
      <c r="J141">
        <v>42921</v>
      </c>
      <c r="K141">
        <v>52</v>
      </c>
      <c r="L141" t="s">
        <v>30</v>
      </c>
      <c r="M141" t="s">
        <v>31</v>
      </c>
      <c r="N141" s="4">
        <f t="shared" si="2"/>
        <v>26.929193749135667</v>
      </c>
      <c r="O141" s="10">
        <f>SUM(Posts_2[[#This Row],[Likes]:[Comments]])</f>
        <v>3964</v>
      </c>
    </row>
    <row r="142" spans="1:15" x14ac:dyDescent="0.3">
      <c r="A142" t="s">
        <v>544</v>
      </c>
      <c r="B142" t="s">
        <v>27</v>
      </c>
      <c r="C142" s="3">
        <v>45560</v>
      </c>
      <c r="D142" t="s">
        <v>74</v>
      </c>
      <c r="E142" t="s">
        <v>219</v>
      </c>
      <c r="F142">
        <v>3389</v>
      </c>
      <c r="G142">
        <v>344</v>
      </c>
      <c r="H142">
        <v>229</v>
      </c>
      <c r="I142">
        <v>20334</v>
      </c>
      <c r="J142">
        <v>19443</v>
      </c>
      <c r="K142">
        <v>228</v>
      </c>
      <c r="L142" t="s">
        <v>62</v>
      </c>
      <c r="M142" t="s">
        <v>31</v>
      </c>
      <c r="N142" s="4">
        <f t="shared" si="2"/>
        <v>57.457952198288581</v>
      </c>
      <c r="O142" s="10">
        <f>SUM(Posts_2[[#This Row],[Likes]:[Comments]])</f>
        <v>3962</v>
      </c>
    </row>
    <row r="143" spans="1:15" x14ac:dyDescent="0.3">
      <c r="A143" t="s">
        <v>498</v>
      </c>
      <c r="B143" t="s">
        <v>43</v>
      </c>
      <c r="C143" s="3">
        <v>45753</v>
      </c>
      <c r="D143" t="s">
        <v>52</v>
      </c>
      <c r="E143" t="s">
        <v>59</v>
      </c>
      <c r="F143">
        <v>3090</v>
      </c>
      <c r="G143">
        <v>697</v>
      </c>
      <c r="H143">
        <v>164</v>
      </c>
      <c r="I143">
        <v>49440</v>
      </c>
      <c r="J143">
        <v>48524</v>
      </c>
      <c r="K143">
        <v>25</v>
      </c>
      <c r="L143" t="s">
        <v>37</v>
      </c>
      <c r="M143" t="s">
        <v>25</v>
      </c>
      <c r="N143" s="4">
        <f t="shared" si="2"/>
        <v>23.631674757281555</v>
      </c>
      <c r="O143" s="10">
        <f>SUM(Posts_2[[#This Row],[Likes]:[Comments]])</f>
        <v>3951</v>
      </c>
    </row>
    <row r="144" spans="1:15" x14ac:dyDescent="0.3">
      <c r="A144" t="s">
        <v>498</v>
      </c>
      <c r="B144" t="s">
        <v>43</v>
      </c>
      <c r="C144" s="3">
        <v>45753</v>
      </c>
      <c r="D144" t="s">
        <v>52</v>
      </c>
      <c r="E144" t="s">
        <v>59</v>
      </c>
      <c r="F144">
        <v>3090</v>
      </c>
      <c r="G144">
        <v>697</v>
      </c>
      <c r="H144">
        <v>164</v>
      </c>
      <c r="I144">
        <v>49440</v>
      </c>
      <c r="J144">
        <v>48524</v>
      </c>
      <c r="K144">
        <v>25</v>
      </c>
      <c r="L144" t="s">
        <v>37</v>
      </c>
      <c r="M144" t="s">
        <v>25</v>
      </c>
      <c r="N144" s="4">
        <f t="shared" si="2"/>
        <v>23.631674757281555</v>
      </c>
      <c r="O144" s="10">
        <f>SUM(Posts_2[[#This Row],[Likes]:[Comments]])</f>
        <v>3951</v>
      </c>
    </row>
    <row r="145" spans="1:15" x14ac:dyDescent="0.3">
      <c r="A145" t="s">
        <v>498</v>
      </c>
      <c r="B145" t="s">
        <v>43</v>
      </c>
      <c r="C145" s="3">
        <v>45753</v>
      </c>
      <c r="D145" t="s">
        <v>52</v>
      </c>
      <c r="E145" t="s">
        <v>59</v>
      </c>
      <c r="F145">
        <v>3090</v>
      </c>
      <c r="G145">
        <v>697</v>
      </c>
      <c r="H145">
        <v>164</v>
      </c>
      <c r="I145">
        <v>49440</v>
      </c>
      <c r="J145">
        <v>48524</v>
      </c>
      <c r="K145">
        <v>25</v>
      </c>
      <c r="L145" t="s">
        <v>613</v>
      </c>
      <c r="M145" t="s">
        <v>25</v>
      </c>
      <c r="N145" s="4">
        <f t="shared" si="2"/>
        <v>23.631674757281555</v>
      </c>
      <c r="O145" s="10">
        <f>SUM(Posts_2[[#This Row],[Likes]:[Comments]])</f>
        <v>3951</v>
      </c>
    </row>
    <row r="146" spans="1:15" x14ac:dyDescent="0.3">
      <c r="A146" t="s">
        <v>525</v>
      </c>
      <c r="B146" t="s">
        <v>27</v>
      </c>
      <c r="C146" s="3">
        <v>45577</v>
      </c>
      <c r="D146" t="s">
        <v>35</v>
      </c>
      <c r="E146" t="s">
        <v>154</v>
      </c>
      <c r="F146">
        <v>3641</v>
      </c>
      <c r="G146">
        <v>226</v>
      </c>
      <c r="H146">
        <v>46</v>
      </c>
      <c r="I146">
        <v>40051</v>
      </c>
      <c r="J146">
        <v>39319</v>
      </c>
      <c r="K146">
        <v>296</v>
      </c>
      <c r="L146" t="s">
        <v>37</v>
      </c>
      <c r="M146" t="s">
        <v>38</v>
      </c>
      <c r="N146" s="4">
        <f t="shared" si="2"/>
        <v>29.171556265761154</v>
      </c>
      <c r="O146" s="10">
        <f>SUM(Posts_2[[#This Row],[Likes]:[Comments]])</f>
        <v>3913</v>
      </c>
    </row>
    <row r="147" spans="1:15" x14ac:dyDescent="0.3">
      <c r="A147" t="s">
        <v>332</v>
      </c>
      <c r="B147" t="s">
        <v>33</v>
      </c>
      <c r="C147" s="3">
        <v>45499</v>
      </c>
      <c r="D147" t="s">
        <v>52</v>
      </c>
      <c r="E147" t="s">
        <v>215</v>
      </c>
      <c r="F147">
        <v>3559</v>
      </c>
      <c r="G147">
        <v>59</v>
      </c>
      <c r="H147">
        <v>289</v>
      </c>
      <c r="I147">
        <v>35590</v>
      </c>
      <c r="J147">
        <v>35105</v>
      </c>
      <c r="K147">
        <v>122</v>
      </c>
      <c r="L147" t="s">
        <v>37</v>
      </c>
      <c r="M147" t="s">
        <v>19</v>
      </c>
      <c r="N147" s="4">
        <f t="shared" si="2"/>
        <v>32.828041584714811</v>
      </c>
      <c r="O147" s="10">
        <f>SUM(Posts_2[[#This Row],[Likes]:[Comments]])</f>
        <v>3907</v>
      </c>
    </row>
    <row r="148" spans="1:15" x14ac:dyDescent="0.3">
      <c r="A148" t="s">
        <v>239</v>
      </c>
      <c r="B148" t="s">
        <v>33</v>
      </c>
      <c r="C148" s="3">
        <v>45604</v>
      </c>
      <c r="D148" t="s">
        <v>22</v>
      </c>
      <c r="E148" t="s">
        <v>113</v>
      </c>
      <c r="F148">
        <v>3182</v>
      </c>
      <c r="G148">
        <v>559</v>
      </c>
      <c r="H148">
        <v>160</v>
      </c>
      <c r="I148">
        <v>57276</v>
      </c>
      <c r="J148">
        <v>56890</v>
      </c>
      <c r="K148">
        <v>163</v>
      </c>
      <c r="L148" t="s">
        <v>62</v>
      </c>
      <c r="M148" t="s">
        <v>38</v>
      </c>
      <c r="N148" s="4">
        <f t="shared" si="2"/>
        <v>20.398596270689293</v>
      </c>
      <c r="O148" s="10">
        <f>SUM(Posts_2[[#This Row],[Likes]:[Comments]])</f>
        <v>3901</v>
      </c>
    </row>
    <row r="149" spans="1:15" x14ac:dyDescent="0.3">
      <c r="A149" t="s">
        <v>425</v>
      </c>
      <c r="B149" t="s">
        <v>27</v>
      </c>
      <c r="C149" s="3">
        <v>45467</v>
      </c>
      <c r="D149" t="s">
        <v>74</v>
      </c>
      <c r="E149" t="s">
        <v>219</v>
      </c>
      <c r="F149">
        <v>2949</v>
      </c>
      <c r="G149">
        <v>476</v>
      </c>
      <c r="H149">
        <v>403</v>
      </c>
      <c r="I149">
        <v>44235</v>
      </c>
      <c r="J149">
        <v>43705</v>
      </c>
      <c r="K149">
        <v>135</v>
      </c>
      <c r="L149" t="s">
        <v>30</v>
      </c>
      <c r="M149" t="s">
        <v>25</v>
      </c>
      <c r="N149" s="4">
        <f t="shared" si="2"/>
        <v>26.412343167175315</v>
      </c>
      <c r="O149" s="10">
        <f>SUM(Posts_2[[#This Row],[Likes]:[Comments]])</f>
        <v>3828</v>
      </c>
    </row>
    <row r="150" spans="1:15" x14ac:dyDescent="0.3">
      <c r="A150" t="s">
        <v>223</v>
      </c>
      <c r="B150" t="s">
        <v>27</v>
      </c>
      <c r="C150" s="3">
        <v>45684</v>
      </c>
      <c r="D150" t="s">
        <v>22</v>
      </c>
      <c r="E150" t="s">
        <v>104</v>
      </c>
      <c r="F150">
        <v>3428</v>
      </c>
      <c r="G150">
        <v>305</v>
      </c>
      <c r="H150">
        <v>85</v>
      </c>
      <c r="I150">
        <v>58276</v>
      </c>
      <c r="J150">
        <v>58052</v>
      </c>
      <c r="K150">
        <v>242</v>
      </c>
      <c r="L150" t="s">
        <v>37</v>
      </c>
      <c r="M150" t="s">
        <v>38</v>
      </c>
      <c r="N150" s="4">
        <f t="shared" si="2"/>
        <v>20.048562015237835</v>
      </c>
      <c r="O150" s="10">
        <f>SUM(Posts_2[[#This Row],[Likes]:[Comments]])</f>
        <v>3818</v>
      </c>
    </row>
    <row r="151" spans="1:15" x14ac:dyDescent="0.3">
      <c r="A151" t="s">
        <v>223</v>
      </c>
      <c r="B151" t="s">
        <v>27</v>
      </c>
      <c r="C151" s="3">
        <v>45684</v>
      </c>
      <c r="D151" t="s">
        <v>22</v>
      </c>
      <c r="E151" t="s">
        <v>104</v>
      </c>
      <c r="F151">
        <v>3428</v>
      </c>
      <c r="G151">
        <v>305</v>
      </c>
      <c r="H151">
        <v>85</v>
      </c>
      <c r="I151">
        <v>58276</v>
      </c>
      <c r="J151">
        <v>58052</v>
      </c>
      <c r="K151">
        <v>242</v>
      </c>
      <c r="L151" t="s">
        <v>613</v>
      </c>
      <c r="M151" t="s">
        <v>38</v>
      </c>
      <c r="N151" s="4">
        <f t="shared" si="2"/>
        <v>20.048562015237835</v>
      </c>
      <c r="O151" s="10">
        <f>SUM(Posts_2[[#This Row],[Likes]:[Comments]])</f>
        <v>3818</v>
      </c>
    </row>
    <row r="152" spans="1:15" x14ac:dyDescent="0.3">
      <c r="A152" t="s">
        <v>165</v>
      </c>
      <c r="B152" t="s">
        <v>43</v>
      </c>
      <c r="C152" s="3">
        <v>45644</v>
      </c>
      <c r="D152" t="s">
        <v>45</v>
      </c>
      <c r="E152" t="s">
        <v>46</v>
      </c>
      <c r="F152">
        <v>2946</v>
      </c>
      <c r="G152">
        <v>498</v>
      </c>
      <c r="H152">
        <v>367</v>
      </c>
      <c r="I152">
        <v>29460</v>
      </c>
      <c r="J152">
        <v>28527</v>
      </c>
      <c r="K152">
        <v>60</v>
      </c>
      <c r="L152" t="s">
        <v>62</v>
      </c>
      <c r="M152" t="s">
        <v>31</v>
      </c>
      <c r="N152" s="4">
        <f t="shared" si="2"/>
        <v>39.658859470468428</v>
      </c>
      <c r="O152" s="10">
        <f>SUM(Posts_2[[#This Row],[Likes]:[Comments]])</f>
        <v>3811</v>
      </c>
    </row>
    <row r="153" spans="1:15" x14ac:dyDescent="0.3">
      <c r="A153" t="s">
        <v>141</v>
      </c>
      <c r="B153" t="s">
        <v>43</v>
      </c>
      <c r="C153" s="3">
        <v>45597</v>
      </c>
      <c r="D153" t="s">
        <v>74</v>
      </c>
      <c r="E153" t="s">
        <v>75</v>
      </c>
      <c r="F153">
        <v>3371</v>
      </c>
      <c r="G153">
        <v>106</v>
      </c>
      <c r="H153">
        <v>327</v>
      </c>
      <c r="I153">
        <v>50565</v>
      </c>
      <c r="J153">
        <v>49816</v>
      </c>
      <c r="K153">
        <v>176</v>
      </c>
      <c r="L153" t="s">
        <v>62</v>
      </c>
      <c r="M153" t="s">
        <v>19</v>
      </c>
      <c r="N153" s="4">
        <f t="shared" si="2"/>
        <v>23.105903292791456</v>
      </c>
      <c r="O153" s="10">
        <f>SUM(Posts_2[[#This Row],[Likes]:[Comments]])</f>
        <v>3804</v>
      </c>
    </row>
    <row r="154" spans="1:15" x14ac:dyDescent="0.3">
      <c r="A154" t="s">
        <v>367</v>
      </c>
      <c r="B154" t="s">
        <v>43</v>
      </c>
      <c r="C154" s="3">
        <v>45518</v>
      </c>
      <c r="D154" t="s">
        <v>45</v>
      </c>
      <c r="E154" t="s">
        <v>46</v>
      </c>
      <c r="F154">
        <v>3073</v>
      </c>
      <c r="G154">
        <v>553</v>
      </c>
      <c r="H154">
        <v>174</v>
      </c>
      <c r="I154">
        <v>52241</v>
      </c>
      <c r="J154">
        <v>51605</v>
      </c>
      <c r="K154">
        <v>246</v>
      </c>
      <c r="L154" t="s">
        <v>37</v>
      </c>
      <c r="M154" t="s">
        <v>31</v>
      </c>
      <c r="N154" s="4">
        <f t="shared" si="2"/>
        <v>22.364617828908329</v>
      </c>
      <c r="O154" s="10">
        <f>SUM(Posts_2[[#This Row],[Likes]:[Comments]])</f>
        <v>3800</v>
      </c>
    </row>
    <row r="155" spans="1:15" x14ac:dyDescent="0.3">
      <c r="A155" t="s">
        <v>100</v>
      </c>
      <c r="B155" t="s">
        <v>27</v>
      </c>
      <c r="C155" s="3">
        <v>45752</v>
      </c>
      <c r="D155" t="s">
        <v>16</v>
      </c>
      <c r="E155" t="s">
        <v>29</v>
      </c>
      <c r="F155">
        <v>3009</v>
      </c>
      <c r="G155">
        <v>413</v>
      </c>
      <c r="H155">
        <v>358</v>
      </c>
      <c r="I155">
        <v>42126</v>
      </c>
      <c r="J155">
        <v>41309</v>
      </c>
      <c r="K155">
        <v>211</v>
      </c>
      <c r="L155" t="s">
        <v>62</v>
      </c>
      <c r="M155" t="s">
        <v>25</v>
      </c>
      <c r="N155" s="4">
        <f t="shared" si="2"/>
        <v>27.73465318330722</v>
      </c>
      <c r="O155" s="10">
        <f>SUM(Posts_2[[#This Row],[Likes]:[Comments]])</f>
        <v>3780</v>
      </c>
    </row>
    <row r="156" spans="1:15" x14ac:dyDescent="0.3">
      <c r="A156" t="s">
        <v>432</v>
      </c>
      <c r="B156" t="s">
        <v>43</v>
      </c>
      <c r="C156" s="3">
        <v>45778</v>
      </c>
      <c r="D156" t="s">
        <v>45</v>
      </c>
      <c r="E156" t="s">
        <v>46</v>
      </c>
      <c r="F156">
        <v>2696</v>
      </c>
      <c r="G156">
        <v>628</v>
      </c>
      <c r="H156">
        <v>443</v>
      </c>
      <c r="I156">
        <v>45832</v>
      </c>
      <c r="J156">
        <v>45632</v>
      </c>
      <c r="K156">
        <v>248</v>
      </c>
      <c r="L156" t="s">
        <v>37</v>
      </c>
      <c r="M156" t="s">
        <v>38</v>
      </c>
      <c r="N156" s="4">
        <f t="shared" si="2"/>
        <v>25.492014313143656</v>
      </c>
      <c r="O156" s="10">
        <f>SUM(Posts_2[[#This Row],[Likes]:[Comments]])</f>
        <v>3767</v>
      </c>
    </row>
    <row r="157" spans="1:15" x14ac:dyDescent="0.3">
      <c r="A157" t="s">
        <v>446</v>
      </c>
      <c r="B157" t="s">
        <v>14</v>
      </c>
      <c r="C157" s="3">
        <v>45608</v>
      </c>
      <c r="D157" t="s">
        <v>52</v>
      </c>
      <c r="E157" t="s">
        <v>132</v>
      </c>
      <c r="F157">
        <v>3338</v>
      </c>
      <c r="G157">
        <v>277</v>
      </c>
      <c r="H157">
        <v>118</v>
      </c>
      <c r="I157">
        <v>60084</v>
      </c>
      <c r="J157">
        <v>59842</v>
      </c>
      <c r="K157">
        <v>252</v>
      </c>
      <c r="L157" t="s">
        <v>30</v>
      </c>
      <c r="M157" t="s">
        <v>620</v>
      </c>
      <c r="N157" s="4">
        <f t="shared" si="2"/>
        <v>19.445276612742163</v>
      </c>
      <c r="O157" s="10">
        <f>SUM(Posts_2[[#This Row],[Likes]:[Comments]])</f>
        <v>3733</v>
      </c>
    </row>
    <row r="158" spans="1:15" x14ac:dyDescent="0.3">
      <c r="A158" t="s">
        <v>540</v>
      </c>
      <c r="B158" t="s">
        <v>14</v>
      </c>
      <c r="C158" s="3">
        <v>45786</v>
      </c>
      <c r="D158" t="s">
        <v>16</v>
      </c>
      <c r="E158" t="s">
        <v>17</v>
      </c>
      <c r="F158">
        <v>3367</v>
      </c>
      <c r="G158">
        <v>302</v>
      </c>
      <c r="H158">
        <v>57</v>
      </c>
      <c r="I158">
        <v>63973</v>
      </c>
      <c r="J158">
        <v>63789</v>
      </c>
      <c r="K158">
        <v>157</v>
      </c>
      <c r="L158" t="s">
        <v>62</v>
      </c>
      <c r="M158" t="s">
        <v>25</v>
      </c>
      <c r="N158" s="4">
        <f t="shared" si="2"/>
        <v>18.263173526331421</v>
      </c>
      <c r="O158" s="10">
        <f>SUM(Posts_2[[#This Row],[Likes]:[Comments]])</f>
        <v>3726</v>
      </c>
    </row>
    <row r="159" spans="1:15" x14ac:dyDescent="0.3">
      <c r="A159" t="s">
        <v>80</v>
      </c>
      <c r="B159" t="s">
        <v>33</v>
      </c>
      <c r="C159" s="3">
        <v>45523</v>
      </c>
      <c r="D159" t="s">
        <v>16</v>
      </c>
      <c r="E159" t="s">
        <v>82</v>
      </c>
      <c r="F159">
        <v>3000</v>
      </c>
      <c r="G159">
        <v>382</v>
      </c>
      <c r="H159">
        <v>325</v>
      </c>
      <c r="I159">
        <v>36000</v>
      </c>
      <c r="J159">
        <v>35819</v>
      </c>
      <c r="K159">
        <v>19</v>
      </c>
      <c r="L159" t="s">
        <v>62</v>
      </c>
      <c r="M159" t="s">
        <v>19</v>
      </c>
      <c r="N159" s="4">
        <f t="shared" si="2"/>
        <v>32.454166666666666</v>
      </c>
      <c r="O159" s="10">
        <f>SUM(Posts_2[[#This Row],[Likes]:[Comments]])</f>
        <v>3707</v>
      </c>
    </row>
    <row r="160" spans="1:15" x14ac:dyDescent="0.3">
      <c r="A160" t="s">
        <v>194</v>
      </c>
      <c r="B160" t="s">
        <v>27</v>
      </c>
      <c r="C160" s="3">
        <v>45537</v>
      </c>
      <c r="D160" t="s">
        <v>45</v>
      </c>
      <c r="E160" t="s">
        <v>68</v>
      </c>
      <c r="F160">
        <v>2551</v>
      </c>
      <c r="G160">
        <v>915</v>
      </c>
      <c r="H160">
        <v>205</v>
      </c>
      <c r="I160">
        <v>30612</v>
      </c>
      <c r="J160">
        <v>30360</v>
      </c>
      <c r="K160">
        <v>227</v>
      </c>
      <c r="L160" t="s">
        <v>30</v>
      </c>
      <c r="M160" t="s">
        <v>25</v>
      </c>
      <c r="N160" s="4">
        <f t="shared" si="2"/>
        <v>38.16640533124265</v>
      </c>
      <c r="O160" s="10">
        <f>SUM(Posts_2[[#This Row],[Likes]:[Comments]])</f>
        <v>3671</v>
      </c>
    </row>
    <row r="161" spans="1:15" x14ac:dyDescent="0.3">
      <c r="A161" t="s">
        <v>426</v>
      </c>
      <c r="B161" t="s">
        <v>14</v>
      </c>
      <c r="C161" s="3">
        <v>45735</v>
      </c>
      <c r="D161" t="s">
        <v>74</v>
      </c>
      <c r="E161" t="s">
        <v>145</v>
      </c>
      <c r="F161">
        <v>3160</v>
      </c>
      <c r="G161">
        <v>204</v>
      </c>
      <c r="H161">
        <v>297</v>
      </c>
      <c r="I161">
        <v>44240</v>
      </c>
      <c r="J161">
        <v>43666</v>
      </c>
      <c r="K161">
        <v>49</v>
      </c>
      <c r="L161" t="s">
        <v>62</v>
      </c>
      <c r="M161" t="s">
        <v>38</v>
      </c>
      <c r="N161" s="4">
        <f t="shared" si="2"/>
        <v>26.409358047016276</v>
      </c>
      <c r="O161" s="10">
        <f>SUM(Posts_2[[#This Row],[Likes]:[Comments]])</f>
        <v>3661</v>
      </c>
    </row>
    <row r="162" spans="1:15" x14ac:dyDescent="0.3">
      <c r="A162" t="s">
        <v>426</v>
      </c>
      <c r="B162" t="s">
        <v>14</v>
      </c>
      <c r="C162" s="3">
        <v>45735</v>
      </c>
      <c r="D162" t="s">
        <v>74</v>
      </c>
      <c r="E162" t="s">
        <v>145</v>
      </c>
      <c r="F162">
        <v>3160</v>
      </c>
      <c r="G162">
        <v>204</v>
      </c>
      <c r="H162">
        <v>297</v>
      </c>
      <c r="I162">
        <v>44240</v>
      </c>
      <c r="J162">
        <v>43666</v>
      </c>
      <c r="K162">
        <v>49</v>
      </c>
      <c r="L162" t="s">
        <v>612</v>
      </c>
      <c r="M162" t="s">
        <v>38</v>
      </c>
      <c r="N162" s="4">
        <f t="shared" si="2"/>
        <v>26.409358047016276</v>
      </c>
      <c r="O162" s="10">
        <f>SUM(Posts_2[[#This Row],[Likes]:[Comments]])</f>
        <v>3661</v>
      </c>
    </row>
    <row r="163" spans="1:15" x14ac:dyDescent="0.3">
      <c r="A163" t="s">
        <v>167</v>
      </c>
      <c r="B163" t="s">
        <v>14</v>
      </c>
      <c r="C163" s="3">
        <v>45586</v>
      </c>
      <c r="D163" t="s">
        <v>74</v>
      </c>
      <c r="E163" t="s">
        <v>145</v>
      </c>
      <c r="F163">
        <v>2825</v>
      </c>
      <c r="G163">
        <v>535</v>
      </c>
      <c r="H163">
        <v>295</v>
      </c>
      <c r="I163">
        <v>45200</v>
      </c>
      <c r="J163">
        <v>44739</v>
      </c>
      <c r="K163">
        <v>169</v>
      </c>
      <c r="L163" t="s">
        <v>30</v>
      </c>
      <c r="M163" t="s">
        <v>19</v>
      </c>
      <c r="N163" s="4">
        <f t="shared" si="2"/>
        <v>25.848451327433629</v>
      </c>
      <c r="O163" s="10">
        <f>SUM(Posts_2[[#This Row],[Likes]:[Comments]])</f>
        <v>3655</v>
      </c>
    </row>
    <row r="164" spans="1:15" x14ac:dyDescent="0.3">
      <c r="A164" t="s">
        <v>146</v>
      </c>
      <c r="B164" t="s">
        <v>14</v>
      </c>
      <c r="C164" s="3">
        <v>45712</v>
      </c>
      <c r="D164" t="s">
        <v>45</v>
      </c>
      <c r="E164" t="s">
        <v>49</v>
      </c>
      <c r="F164">
        <v>2704</v>
      </c>
      <c r="G164">
        <v>752</v>
      </c>
      <c r="H164">
        <v>153</v>
      </c>
      <c r="I164">
        <v>21632</v>
      </c>
      <c r="J164">
        <v>20792</v>
      </c>
      <c r="K164">
        <v>127</v>
      </c>
      <c r="L164" t="s">
        <v>62</v>
      </c>
      <c r="M164" t="s">
        <v>620</v>
      </c>
      <c r="N164" s="4">
        <f t="shared" si="2"/>
        <v>54.010262573964496</v>
      </c>
      <c r="O164" s="10">
        <f>SUM(Posts_2[[#This Row],[Likes]:[Comments]])</f>
        <v>3609</v>
      </c>
    </row>
    <row r="165" spans="1:15" x14ac:dyDescent="0.3">
      <c r="A165" t="s">
        <v>555</v>
      </c>
      <c r="B165" t="s">
        <v>43</v>
      </c>
      <c r="C165" s="3">
        <v>45791</v>
      </c>
      <c r="D165" t="s">
        <v>22</v>
      </c>
      <c r="E165" t="s">
        <v>56</v>
      </c>
      <c r="F165">
        <v>2634</v>
      </c>
      <c r="G165">
        <v>726</v>
      </c>
      <c r="H165">
        <v>241</v>
      </c>
      <c r="I165">
        <v>28974</v>
      </c>
      <c r="J165">
        <v>28102</v>
      </c>
      <c r="K165">
        <v>277</v>
      </c>
      <c r="L165" t="s">
        <v>37</v>
      </c>
      <c r="M165" t="s">
        <v>19</v>
      </c>
      <c r="N165" s="4">
        <f t="shared" si="2"/>
        <v>40.3240836612135</v>
      </c>
      <c r="O165" s="10">
        <f>SUM(Posts_2[[#This Row],[Likes]:[Comments]])</f>
        <v>3601</v>
      </c>
    </row>
    <row r="166" spans="1:15" x14ac:dyDescent="0.3">
      <c r="A166" t="s">
        <v>536</v>
      </c>
      <c r="B166" t="s">
        <v>27</v>
      </c>
      <c r="C166" s="3">
        <v>45738</v>
      </c>
      <c r="D166" t="s">
        <v>52</v>
      </c>
      <c r="E166" t="s">
        <v>53</v>
      </c>
      <c r="F166">
        <v>3166</v>
      </c>
      <c r="G166">
        <v>90</v>
      </c>
      <c r="H166">
        <v>341</v>
      </c>
      <c r="I166">
        <v>56988</v>
      </c>
      <c r="J166">
        <v>56125</v>
      </c>
      <c r="K166">
        <v>135</v>
      </c>
      <c r="L166" t="s">
        <v>37</v>
      </c>
      <c r="M166" t="s">
        <v>25</v>
      </c>
      <c r="N166" s="4">
        <f t="shared" si="2"/>
        <v>20.501684565171615</v>
      </c>
      <c r="O166" s="10">
        <f>SUM(Posts_2[[#This Row],[Likes]:[Comments]])</f>
        <v>3597</v>
      </c>
    </row>
    <row r="167" spans="1:15" x14ac:dyDescent="0.3">
      <c r="A167" t="s">
        <v>126</v>
      </c>
      <c r="B167" t="s">
        <v>27</v>
      </c>
      <c r="C167" s="3">
        <v>45705</v>
      </c>
      <c r="D167" t="s">
        <v>16</v>
      </c>
      <c r="E167" t="s">
        <v>29</v>
      </c>
      <c r="F167">
        <v>3138</v>
      </c>
      <c r="G167">
        <v>123</v>
      </c>
      <c r="H167">
        <v>291</v>
      </c>
      <c r="I167">
        <v>28242</v>
      </c>
      <c r="J167">
        <v>27550</v>
      </c>
      <c r="K167">
        <v>87</v>
      </c>
      <c r="L167" t="s">
        <v>30</v>
      </c>
      <c r="M167" t="s">
        <v>38</v>
      </c>
      <c r="N167" s="4">
        <f t="shared" si="2"/>
        <v>41.369237306139794</v>
      </c>
      <c r="O167" s="10">
        <f>SUM(Posts_2[[#This Row],[Likes]:[Comments]])</f>
        <v>3552</v>
      </c>
    </row>
    <row r="168" spans="1:15" x14ac:dyDescent="0.3">
      <c r="A168" t="s">
        <v>181</v>
      </c>
      <c r="B168" t="s">
        <v>43</v>
      </c>
      <c r="C168" s="3">
        <v>45521</v>
      </c>
      <c r="D168" t="s">
        <v>52</v>
      </c>
      <c r="E168" t="s">
        <v>59</v>
      </c>
      <c r="F168">
        <v>2878</v>
      </c>
      <c r="G168">
        <v>248</v>
      </c>
      <c r="H168">
        <v>416</v>
      </c>
      <c r="I168">
        <v>43170</v>
      </c>
      <c r="J168">
        <v>42667</v>
      </c>
      <c r="K168">
        <v>75</v>
      </c>
      <c r="L168" t="s">
        <v>62</v>
      </c>
      <c r="M168" t="s">
        <v>31</v>
      </c>
      <c r="N168" s="4">
        <f t="shared" si="2"/>
        <v>27.063933287004865</v>
      </c>
      <c r="O168" s="10">
        <f>SUM(Posts_2[[#This Row],[Likes]:[Comments]])</f>
        <v>3542</v>
      </c>
    </row>
    <row r="169" spans="1:15" x14ac:dyDescent="0.3">
      <c r="A169" t="s">
        <v>98</v>
      </c>
      <c r="B169" t="s">
        <v>14</v>
      </c>
      <c r="C169" s="3">
        <v>45757</v>
      </c>
      <c r="D169" t="s">
        <v>45</v>
      </c>
      <c r="E169" t="s">
        <v>49</v>
      </c>
      <c r="F169">
        <v>3128</v>
      </c>
      <c r="G169">
        <v>211</v>
      </c>
      <c r="H169">
        <v>197</v>
      </c>
      <c r="I169">
        <v>59432</v>
      </c>
      <c r="J169">
        <v>59182</v>
      </c>
      <c r="K169">
        <v>238</v>
      </c>
      <c r="L169" t="s">
        <v>37</v>
      </c>
      <c r="M169" t="s">
        <v>620</v>
      </c>
      <c r="N169" s="4">
        <f t="shared" si="2"/>
        <v>19.658601426840761</v>
      </c>
      <c r="O169" s="10">
        <f>SUM(Posts_2[[#This Row],[Likes]:[Comments]])</f>
        <v>3536</v>
      </c>
    </row>
    <row r="170" spans="1:15" x14ac:dyDescent="0.3">
      <c r="A170" t="s">
        <v>208</v>
      </c>
      <c r="B170" t="s">
        <v>33</v>
      </c>
      <c r="C170" s="3">
        <v>45574</v>
      </c>
      <c r="D170" t="s">
        <v>45</v>
      </c>
      <c r="E170" t="s">
        <v>88</v>
      </c>
      <c r="F170">
        <v>3068</v>
      </c>
      <c r="G170">
        <v>137</v>
      </c>
      <c r="H170">
        <v>329</v>
      </c>
      <c r="I170">
        <v>39884</v>
      </c>
      <c r="J170">
        <v>39404</v>
      </c>
      <c r="K170">
        <v>266</v>
      </c>
      <c r="L170" t="s">
        <v>37</v>
      </c>
      <c r="M170" t="s">
        <v>25</v>
      </c>
      <c r="N170" s="4">
        <f t="shared" si="2"/>
        <v>29.293701735031593</v>
      </c>
      <c r="O170" s="10">
        <f>SUM(Posts_2[[#This Row],[Likes]:[Comments]])</f>
        <v>3534</v>
      </c>
    </row>
    <row r="171" spans="1:15" x14ac:dyDescent="0.3">
      <c r="A171" t="s">
        <v>509</v>
      </c>
      <c r="B171" t="s">
        <v>33</v>
      </c>
      <c r="C171" s="3">
        <v>45524</v>
      </c>
      <c r="D171" t="s">
        <v>16</v>
      </c>
      <c r="E171" t="s">
        <v>82</v>
      </c>
      <c r="F171">
        <v>2603</v>
      </c>
      <c r="G171">
        <v>690</v>
      </c>
      <c r="H171">
        <v>205</v>
      </c>
      <c r="I171">
        <v>13015</v>
      </c>
      <c r="J171">
        <v>12130</v>
      </c>
      <c r="K171">
        <v>20</v>
      </c>
      <c r="L171" t="s">
        <v>62</v>
      </c>
      <c r="M171" t="s">
        <v>25</v>
      </c>
      <c r="N171" s="4">
        <f t="shared" si="2"/>
        <v>89.769496734537071</v>
      </c>
      <c r="O171" s="10">
        <f>SUM(Posts_2[[#This Row],[Likes]:[Comments]])</f>
        <v>3498</v>
      </c>
    </row>
    <row r="172" spans="1:15" x14ac:dyDescent="0.3">
      <c r="A172" t="s">
        <v>356</v>
      </c>
      <c r="B172" t="s">
        <v>14</v>
      </c>
      <c r="C172" s="3">
        <v>45637</v>
      </c>
      <c r="D172" t="s">
        <v>22</v>
      </c>
      <c r="E172" t="s">
        <v>23</v>
      </c>
      <c r="F172">
        <v>3239</v>
      </c>
      <c r="G172">
        <v>43</v>
      </c>
      <c r="H172">
        <v>211</v>
      </c>
      <c r="I172">
        <v>22673</v>
      </c>
      <c r="J172">
        <v>22171</v>
      </c>
      <c r="K172">
        <v>230</v>
      </c>
      <c r="L172" t="s">
        <v>30</v>
      </c>
      <c r="M172" t="s">
        <v>25</v>
      </c>
      <c r="N172" s="4">
        <f t="shared" si="2"/>
        <v>51.530454725885413</v>
      </c>
      <c r="O172" s="10">
        <f>SUM(Posts_2[[#This Row],[Likes]:[Comments]])</f>
        <v>3493</v>
      </c>
    </row>
    <row r="173" spans="1:15" x14ac:dyDescent="0.3">
      <c r="A173" t="s">
        <v>296</v>
      </c>
      <c r="B173" t="s">
        <v>14</v>
      </c>
      <c r="C173" s="3">
        <v>45667</v>
      </c>
      <c r="D173" t="s">
        <v>52</v>
      </c>
      <c r="E173" t="s">
        <v>132</v>
      </c>
      <c r="F173">
        <v>3092</v>
      </c>
      <c r="G173">
        <v>106</v>
      </c>
      <c r="H173">
        <v>291</v>
      </c>
      <c r="I173">
        <v>27828</v>
      </c>
      <c r="J173">
        <v>27217</v>
      </c>
      <c r="K173">
        <v>102</v>
      </c>
      <c r="L173" t="s">
        <v>62</v>
      </c>
      <c r="M173" t="s">
        <v>620</v>
      </c>
      <c r="N173" s="4">
        <f t="shared" si="2"/>
        <v>41.984691677447174</v>
      </c>
      <c r="O173" s="10">
        <f>SUM(Posts_2[[#This Row],[Likes]:[Comments]])</f>
        <v>3489</v>
      </c>
    </row>
    <row r="174" spans="1:15" x14ac:dyDescent="0.3">
      <c r="A174" t="s">
        <v>139</v>
      </c>
      <c r="B174" t="s">
        <v>14</v>
      </c>
      <c r="C174" s="3">
        <v>45718</v>
      </c>
      <c r="D174" t="s">
        <v>52</v>
      </c>
      <c r="E174" t="s">
        <v>132</v>
      </c>
      <c r="F174">
        <v>2358</v>
      </c>
      <c r="G174">
        <v>784</v>
      </c>
      <c r="H174">
        <v>344</v>
      </c>
      <c r="I174">
        <v>35370</v>
      </c>
      <c r="J174">
        <v>34475</v>
      </c>
      <c r="K174">
        <v>216</v>
      </c>
      <c r="L174" t="s">
        <v>30</v>
      </c>
      <c r="M174" t="s">
        <v>620</v>
      </c>
      <c r="N174" s="4">
        <f t="shared" si="2"/>
        <v>33.032230703986428</v>
      </c>
      <c r="O174" s="10">
        <f>SUM(Posts_2[[#This Row],[Likes]:[Comments]])</f>
        <v>3486</v>
      </c>
    </row>
    <row r="175" spans="1:15" x14ac:dyDescent="0.3">
      <c r="A175" t="s">
        <v>393</v>
      </c>
      <c r="B175" t="s">
        <v>27</v>
      </c>
      <c r="C175" s="3">
        <v>45449</v>
      </c>
      <c r="D175" t="s">
        <v>16</v>
      </c>
      <c r="E175" t="s">
        <v>29</v>
      </c>
      <c r="F175">
        <v>2728</v>
      </c>
      <c r="G175">
        <v>533</v>
      </c>
      <c r="H175">
        <v>215</v>
      </c>
      <c r="I175">
        <v>40920</v>
      </c>
      <c r="J175">
        <v>40816</v>
      </c>
      <c r="K175">
        <v>137</v>
      </c>
      <c r="L175" t="s">
        <v>62</v>
      </c>
      <c r="M175" t="s">
        <v>25</v>
      </c>
      <c r="N175" s="4">
        <f t="shared" si="2"/>
        <v>28.552052785923753</v>
      </c>
      <c r="O175" s="10">
        <f>SUM(Posts_2[[#This Row],[Likes]:[Comments]])</f>
        <v>3476</v>
      </c>
    </row>
    <row r="176" spans="1:15" x14ac:dyDescent="0.3">
      <c r="A176" t="s">
        <v>560</v>
      </c>
      <c r="B176" t="s">
        <v>14</v>
      </c>
      <c r="C176" s="3">
        <v>45699</v>
      </c>
      <c r="D176" t="s">
        <v>74</v>
      </c>
      <c r="E176" t="s">
        <v>145</v>
      </c>
      <c r="F176">
        <v>3440</v>
      </c>
      <c r="G176">
        <v>13</v>
      </c>
      <c r="H176">
        <v>20</v>
      </c>
      <c r="I176">
        <v>58480</v>
      </c>
      <c r="J176">
        <v>58146</v>
      </c>
      <c r="K176">
        <v>210</v>
      </c>
      <c r="L176" t="s">
        <v>30</v>
      </c>
      <c r="M176" t="s">
        <v>38</v>
      </c>
      <c r="N176" s="4">
        <f t="shared" si="2"/>
        <v>19.978625170998633</v>
      </c>
      <c r="O176" s="10">
        <f>SUM(Posts_2[[#This Row],[Likes]:[Comments]])</f>
        <v>3473</v>
      </c>
    </row>
    <row r="177" spans="1:15" x14ac:dyDescent="0.3">
      <c r="A177" t="s">
        <v>560</v>
      </c>
      <c r="B177" t="s">
        <v>14</v>
      </c>
      <c r="C177" s="3">
        <v>45699</v>
      </c>
      <c r="D177" t="s">
        <v>74</v>
      </c>
      <c r="E177" t="s">
        <v>145</v>
      </c>
      <c r="F177">
        <v>3440</v>
      </c>
      <c r="G177">
        <v>13</v>
      </c>
      <c r="H177">
        <v>20</v>
      </c>
      <c r="I177">
        <v>58480</v>
      </c>
      <c r="J177">
        <v>58146</v>
      </c>
      <c r="K177">
        <v>210</v>
      </c>
      <c r="L177" t="s">
        <v>607</v>
      </c>
      <c r="M177" t="s">
        <v>38</v>
      </c>
      <c r="N177" s="4">
        <f t="shared" si="2"/>
        <v>19.978625170998633</v>
      </c>
      <c r="O177" s="10">
        <f>SUM(Posts_2[[#This Row],[Likes]:[Comments]])</f>
        <v>3473</v>
      </c>
    </row>
    <row r="178" spans="1:15" x14ac:dyDescent="0.3">
      <c r="A178" t="s">
        <v>298</v>
      </c>
      <c r="B178" t="s">
        <v>27</v>
      </c>
      <c r="C178" s="3">
        <v>45564</v>
      </c>
      <c r="D178" t="s">
        <v>16</v>
      </c>
      <c r="E178" t="s">
        <v>29</v>
      </c>
      <c r="F178">
        <v>2936</v>
      </c>
      <c r="G178">
        <v>439</v>
      </c>
      <c r="H178">
        <v>44</v>
      </c>
      <c r="I178">
        <v>38168</v>
      </c>
      <c r="J178">
        <v>37571</v>
      </c>
      <c r="K178">
        <v>22</v>
      </c>
      <c r="L178" t="s">
        <v>37</v>
      </c>
      <c r="M178" t="s">
        <v>38</v>
      </c>
      <c r="N178" s="4">
        <f t="shared" si="2"/>
        <v>30.610721022846363</v>
      </c>
      <c r="O178" s="10">
        <f>SUM(Posts_2[[#This Row],[Likes]:[Comments]])</f>
        <v>3419</v>
      </c>
    </row>
    <row r="179" spans="1:15" x14ac:dyDescent="0.3">
      <c r="A179" t="s">
        <v>419</v>
      </c>
      <c r="B179" t="s">
        <v>33</v>
      </c>
      <c r="C179" s="3">
        <v>45658</v>
      </c>
      <c r="D179" t="s">
        <v>45</v>
      </c>
      <c r="E179" t="s">
        <v>88</v>
      </c>
      <c r="F179">
        <v>2234</v>
      </c>
      <c r="G179">
        <v>653</v>
      </c>
      <c r="H179">
        <v>432</v>
      </c>
      <c r="I179">
        <v>11170</v>
      </c>
      <c r="J179">
        <v>10569</v>
      </c>
      <c r="K179">
        <v>198</v>
      </c>
      <c r="L179" t="s">
        <v>62</v>
      </c>
      <c r="M179" t="s">
        <v>31</v>
      </c>
      <c r="N179" s="4">
        <f t="shared" si="2"/>
        <v>104.5971351835273</v>
      </c>
      <c r="O179" s="10">
        <f>SUM(Posts_2[[#This Row],[Likes]:[Comments]])</f>
        <v>3319</v>
      </c>
    </row>
    <row r="180" spans="1:15" x14ac:dyDescent="0.3">
      <c r="A180" t="s">
        <v>359</v>
      </c>
      <c r="B180" t="s">
        <v>43</v>
      </c>
      <c r="C180" s="3">
        <v>45608</v>
      </c>
      <c r="D180" t="s">
        <v>22</v>
      </c>
      <c r="E180" t="s">
        <v>56</v>
      </c>
      <c r="F180">
        <v>2418</v>
      </c>
      <c r="G180">
        <v>754</v>
      </c>
      <c r="H180">
        <v>54</v>
      </c>
      <c r="I180">
        <v>43524</v>
      </c>
      <c r="J180">
        <v>42743</v>
      </c>
      <c r="K180">
        <v>182</v>
      </c>
      <c r="L180" t="s">
        <v>37</v>
      </c>
      <c r="M180" t="s">
        <v>19</v>
      </c>
      <c r="N180" s="4">
        <f t="shared" si="2"/>
        <v>26.843810311552247</v>
      </c>
      <c r="O180" s="10">
        <f>SUM(Posts_2[[#This Row],[Likes]:[Comments]])</f>
        <v>3226</v>
      </c>
    </row>
    <row r="181" spans="1:15" x14ac:dyDescent="0.3">
      <c r="A181" t="s">
        <v>565</v>
      </c>
      <c r="B181" t="s">
        <v>43</v>
      </c>
      <c r="C181" s="3">
        <v>45530</v>
      </c>
      <c r="D181" t="s">
        <v>52</v>
      </c>
      <c r="E181" t="s">
        <v>59</v>
      </c>
      <c r="F181">
        <v>2581</v>
      </c>
      <c r="G181">
        <v>517</v>
      </c>
      <c r="H181">
        <v>117</v>
      </c>
      <c r="I181">
        <v>23229</v>
      </c>
      <c r="J181">
        <v>22331</v>
      </c>
      <c r="K181">
        <v>70</v>
      </c>
      <c r="L181" t="s">
        <v>62</v>
      </c>
      <c r="M181" t="s">
        <v>31</v>
      </c>
      <c r="N181" s="4">
        <f t="shared" si="2"/>
        <v>50.297042489990957</v>
      </c>
      <c r="O181" s="10">
        <f>SUM(Posts_2[[#This Row],[Likes]:[Comments]])</f>
        <v>3215</v>
      </c>
    </row>
    <row r="182" spans="1:15" x14ac:dyDescent="0.3">
      <c r="A182" t="s">
        <v>549</v>
      </c>
      <c r="B182" t="s">
        <v>43</v>
      </c>
      <c r="C182" s="3">
        <v>45624</v>
      </c>
      <c r="D182" t="s">
        <v>45</v>
      </c>
      <c r="E182" t="s">
        <v>46</v>
      </c>
      <c r="F182">
        <v>2751</v>
      </c>
      <c r="G182">
        <v>33</v>
      </c>
      <c r="H182">
        <v>430</v>
      </c>
      <c r="I182">
        <v>44016</v>
      </c>
      <c r="J182">
        <v>43415</v>
      </c>
      <c r="K182">
        <v>129</v>
      </c>
      <c r="L182" t="s">
        <v>62</v>
      </c>
      <c r="M182" t="s">
        <v>620</v>
      </c>
      <c r="N182" s="4">
        <f t="shared" si="2"/>
        <v>26.543756815703382</v>
      </c>
      <c r="O182" s="10">
        <f>SUM(Posts_2[[#This Row],[Likes]:[Comments]])</f>
        <v>3214</v>
      </c>
    </row>
    <row r="183" spans="1:15" x14ac:dyDescent="0.3">
      <c r="A183" t="s">
        <v>109</v>
      </c>
      <c r="B183" t="s">
        <v>33</v>
      </c>
      <c r="C183" s="3">
        <v>45713</v>
      </c>
      <c r="D183" t="s">
        <v>74</v>
      </c>
      <c r="E183" t="s">
        <v>85</v>
      </c>
      <c r="F183">
        <v>3095</v>
      </c>
      <c r="G183">
        <v>39</v>
      </c>
      <c r="H183">
        <v>78</v>
      </c>
      <c r="I183">
        <v>55710</v>
      </c>
      <c r="J183">
        <v>54808</v>
      </c>
      <c r="K183">
        <v>93</v>
      </c>
      <c r="L183" t="s">
        <v>37</v>
      </c>
      <c r="M183" t="s">
        <v>620</v>
      </c>
      <c r="N183" s="4">
        <f t="shared" si="2"/>
        <v>20.971997845988152</v>
      </c>
      <c r="O183" s="10">
        <f>SUM(Posts_2[[#This Row],[Likes]:[Comments]])</f>
        <v>3212</v>
      </c>
    </row>
    <row r="184" spans="1:15" x14ac:dyDescent="0.3">
      <c r="A184" t="s">
        <v>310</v>
      </c>
      <c r="B184" t="s">
        <v>43</v>
      </c>
      <c r="C184" s="3">
        <v>45504</v>
      </c>
      <c r="D184" t="s">
        <v>74</v>
      </c>
      <c r="E184" t="s">
        <v>75</v>
      </c>
      <c r="F184">
        <v>3008</v>
      </c>
      <c r="G184">
        <v>94</v>
      </c>
      <c r="H184">
        <v>37</v>
      </c>
      <c r="I184">
        <v>15040</v>
      </c>
      <c r="J184">
        <v>14639</v>
      </c>
      <c r="K184">
        <v>277</v>
      </c>
      <c r="L184" t="s">
        <v>62</v>
      </c>
      <c r="M184" t="s">
        <v>620</v>
      </c>
      <c r="N184" s="4">
        <f t="shared" si="2"/>
        <v>77.682845744680847</v>
      </c>
      <c r="O184" s="10">
        <f>SUM(Posts_2[[#This Row],[Likes]:[Comments]])</f>
        <v>3139</v>
      </c>
    </row>
    <row r="185" spans="1:15" x14ac:dyDescent="0.3">
      <c r="A185" t="s">
        <v>284</v>
      </c>
      <c r="B185" t="s">
        <v>33</v>
      </c>
      <c r="C185" s="3">
        <v>45695</v>
      </c>
      <c r="D185" t="s">
        <v>16</v>
      </c>
      <c r="E185" t="s">
        <v>82</v>
      </c>
      <c r="F185">
        <v>1970</v>
      </c>
      <c r="G185">
        <v>675</v>
      </c>
      <c r="H185">
        <v>478</v>
      </c>
      <c r="I185">
        <v>9850</v>
      </c>
      <c r="J185">
        <v>8924</v>
      </c>
      <c r="K185">
        <v>117</v>
      </c>
      <c r="L185" t="s">
        <v>62</v>
      </c>
      <c r="M185" t="s">
        <v>620</v>
      </c>
      <c r="N185" s="4">
        <f t="shared" si="2"/>
        <v>118.61421319796955</v>
      </c>
      <c r="O185" s="10">
        <f>SUM(Posts_2[[#This Row],[Likes]:[Comments]])</f>
        <v>3123</v>
      </c>
    </row>
    <row r="186" spans="1:15" x14ac:dyDescent="0.3">
      <c r="A186" t="s">
        <v>238</v>
      </c>
      <c r="B186" t="s">
        <v>33</v>
      </c>
      <c r="C186" s="3">
        <v>45603</v>
      </c>
      <c r="D186" t="s">
        <v>52</v>
      </c>
      <c r="E186" t="s">
        <v>215</v>
      </c>
      <c r="F186">
        <v>2647</v>
      </c>
      <c r="G186">
        <v>304</v>
      </c>
      <c r="H186">
        <v>170</v>
      </c>
      <c r="I186">
        <v>18529</v>
      </c>
      <c r="J186">
        <v>17841</v>
      </c>
      <c r="K186">
        <v>46</v>
      </c>
      <c r="L186" t="s">
        <v>62</v>
      </c>
      <c r="M186" t="s">
        <v>31</v>
      </c>
      <c r="N186" s="4">
        <f t="shared" si="2"/>
        <v>63.055210750715098</v>
      </c>
      <c r="O186" s="10">
        <f>SUM(Posts_2[[#This Row],[Likes]:[Comments]])</f>
        <v>3121</v>
      </c>
    </row>
    <row r="187" spans="1:15" x14ac:dyDescent="0.3">
      <c r="A187" t="s">
        <v>312</v>
      </c>
      <c r="B187" t="s">
        <v>27</v>
      </c>
      <c r="C187" s="3">
        <v>45594</v>
      </c>
      <c r="D187" t="s">
        <v>22</v>
      </c>
      <c r="E187" t="s">
        <v>104</v>
      </c>
      <c r="F187">
        <v>2746</v>
      </c>
      <c r="G187">
        <v>156</v>
      </c>
      <c r="H187">
        <v>203</v>
      </c>
      <c r="I187">
        <v>32952</v>
      </c>
      <c r="J187">
        <v>32147</v>
      </c>
      <c r="K187">
        <v>147</v>
      </c>
      <c r="L187" t="s">
        <v>37</v>
      </c>
      <c r="M187" t="s">
        <v>19</v>
      </c>
      <c r="N187" s="4">
        <f t="shared" si="2"/>
        <v>35.456117989803353</v>
      </c>
      <c r="O187" s="10">
        <f>SUM(Posts_2[[#This Row],[Likes]:[Comments]])</f>
        <v>3105</v>
      </c>
    </row>
    <row r="188" spans="1:15" x14ac:dyDescent="0.3">
      <c r="A188" t="s">
        <v>210</v>
      </c>
      <c r="B188" t="s">
        <v>33</v>
      </c>
      <c r="C188" s="3">
        <v>45456</v>
      </c>
      <c r="D188" t="s">
        <v>35</v>
      </c>
      <c r="E188" t="s">
        <v>36</v>
      </c>
      <c r="F188">
        <v>2103</v>
      </c>
      <c r="G188">
        <v>892</v>
      </c>
      <c r="H188">
        <v>103</v>
      </c>
      <c r="I188">
        <v>39957</v>
      </c>
      <c r="J188">
        <v>39466</v>
      </c>
      <c r="K188">
        <v>28</v>
      </c>
      <c r="L188" t="s">
        <v>62</v>
      </c>
      <c r="M188" t="s">
        <v>620</v>
      </c>
      <c r="N188" s="4">
        <f t="shared" si="2"/>
        <v>29.240183196936705</v>
      </c>
      <c r="O188" s="10">
        <f>SUM(Posts_2[[#This Row],[Likes]:[Comments]])</f>
        <v>3098</v>
      </c>
    </row>
    <row r="189" spans="1:15" x14ac:dyDescent="0.3">
      <c r="A189" t="s">
        <v>271</v>
      </c>
      <c r="B189" t="s">
        <v>14</v>
      </c>
      <c r="C189" s="3">
        <v>45570</v>
      </c>
      <c r="D189" t="s">
        <v>35</v>
      </c>
      <c r="E189" t="s">
        <v>149</v>
      </c>
      <c r="F189">
        <v>1957</v>
      </c>
      <c r="G189">
        <v>877</v>
      </c>
      <c r="H189">
        <v>238</v>
      </c>
      <c r="I189">
        <v>17613</v>
      </c>
      <c r="J189">
        <v>16865</v>
      </c>
      <c r="K189">
        <v>297</v>
      </c>
      <c r="L189" t="s">
        <v>62</v>
      </c>
      <c r="M189" t="s">
        <v>31</v>
      </c>
      <c r="N189" s="4">
        <f t="shared" si="2"/>
        <v>66.334525634474531</v>
      </c>
      <c r="O189" s="10">
        <f>SUM(Posts_2[[#This Row],[Likes]:[Comments]])</f>
        <v>3072</v>
      </c>
    </row>
    <row r="190" spans="1:15" x14ac:dyDescent="0.3">
      <c r="A190" t="s">
        <v>161</v>
      </c>
      <c r="B190" t="s">
        <v>27</v>
      </c>
      <c r="C190" s="3">
        <v>45729</v>
      </c>
      <c r="D190" t="s">
        <v>45</v>
      </c>
      <c r="E190" t="s">
        <v>68</v>
      </c>
      <c r="F190">
        <v>1686</v>
      </c>
      <c r="G190">
        <v>904</v>
      </c>
      <c r="H190">
        <v>472</v>
      </c>
      <c r="I190">
        <v>18546</v>
      </c>
      <c r="J190">
        <v>18171</v>
      </c>
      <c r="K190">
        <v>52</v>
      </c>
      <c r="L190" t="s">
        <v>62</v>
      </c>
      <c r="M190" t="s">
        <v>25</v>
      </c>
      <c r="N190" s="4">
        <f t="shared" si="2"/>
        <v>62.997411840828214</v>
      </c>
      <c r="O190" s="10">
        <f>SUM(Posts_2[[#This Row],[Likes]:[Comments]])</f>
        <v>3062</v>
      </c>
    </row>
    <row r="191" spans="1:15" x14ac:dyDescent="0.3">
      <c r="A191" t="s">
        <v>220</v>
      </c>
      <c r="B191" t="s">
        <v>43</v>
      </c>
      <c r="C191" s="3">
        <v>45635</v>
      </c>
      <c r="D191" t="s">
        <v>52</v>
      </c>
      <c r="E191" t="s">
        <v>59</v>
      </c>
      <c r="F191">
        <v>1841</v>
      </c>
      <c r="G191">
        <v>851</v>
      </c>
      <c r="H191">
        <v>342</v>
      </c>
      <c r="I191">
        <v>34979</v>
      </c>
      <c r="J191">
        <v>34154</v>
      </c>
      <c r="K191">
        <v>255</v>
      </c>
      <c r="L191" t="s">
        <v>62</v>
      </c>
      <c r="M191" t="s">
        <v>38</v>
      </c>
      <c r="N191" s="4">
        <f t="shared" si="2"/>
        <v>33.401469453100432</v>
      </c>
      <c r="O191" s="10">
        <f>SUM(Posts_2[[#This Row],[Likes]:[Comments]])</f>
        <v>3034</v>
      </c>
    </row>
    <row r="192" spans="1:15" x14ac:dyDescent="0.3">
      <c r="A192" t="s">
        <v>189</v>
      </c>
      <c r="B192" t="s">
        <v>33</v>
      </c>
      <c r="C192" s="3">
        <v>45634</v>
      </c>
      <c r="D192" t="s">
        <v>35</v>
      </c>
      <c r="E192" t="s">
        <v>36</v>
      </c>
      <c r="F192">
        <v>2610</v>
      </c>
      <c r="G192">
        <v>126</v>
      </c>
      <c r="H192">
        <v>288</v>
      </c>
      <c r="I192">
        <v>15660</v>
      </c>
      <c r="J192">
        <v>15145</v>
      </c>
      <c r="K192">
        <v>73</v>
      </c>
      <c r="L192" t="s">
        <v>37</v>
      </c>
      <c r="M192" t="s">
        <v>620</v>
      </c>
      <c r="N192" s="4">
        <f t="shared" si="2"/>
        <v>74.607279693486589</v>
      </c>
      <c r="O192" s="10">
        <f>SUM(Posts_2[[#This Row],[Likes]:[Comments]])</f>
        <v>3024</v>
      </c>
    </row>
    <row r="193" spans="1:15" x14ac:dyDescent="0.3">
      <c r="A193" t="s">
        <v>269</v>
      </c>
      <c r="B193" t="s">
        <v>27</v>
      </c>
      <c r="C193" s="3">
        <v>45619</v>
      </c>
      <c r="D193" t="s">
        <v>52</v>
      </c>
      <c r="E193" t="s">
        <v>53</v>
      </c>
      <c r="F193">
        <v>2719</v>
      </c>
      <c r="G193">
        <v>17</v>
      </c>
      <c r="H193">
        <v>285</v>
      </c>
      <c r="I193">
        <v>40785</v>
      </c>
      <c r="J193">
        <v>40281</v>
      </c>
      <c r="K193">
        <v>40</v>
      </c>
      <c r="L193" t="s">
        <v>30</v>
      </c>
      <c r="M193" t="s">
        <v>25</v>
      </c>
      <c r="N193" s="4">
        <f t="shared" si="2"/>
        <v>28.646561235748436</v>
      </c>
      <c r="O193" s="10">
        <f>SUM(Posts_2[[#This Row],[Likes]:[Comments]])</f>
        <v>3021</v>
      </c>
    </row>
    <row r="194" spans="1:15" x14ac:dyDescent="0.3">
      <c r="A194" t="s">
        <v>63</v>
      </c>
      <c r="B194" t="s">
        <v>43</v>
      </c>
      <c r="C194" s="3">
        <v>45494</v>
      </c>
      <c r="D194" t="s">
        <v>16</v>
      </c>
      <c r="E194" t="s">
        <v>65</v>
      </c>
      <c r="F194">
        <v>1946</v>
      </c>
      <c r="G194">
        <v>686</v>
      </c>
      <c r="H194">
        <v>377</v>
      </c>
      <c r="I194">
        <v>23352</v>
      </c>
      <c r="J194">
        <v>22982</v>
      </c>
      <c r="K194">
        <v>213</v>
      </c>
      <c r="L194" t="s">
        <v>62</v>
      </c>
      <c r="M194" t="s">
        <v>31</v>
      </c>
      <c r="N194" s="4">
        <f t="shared" ref="N194:N257" si="3">SUM(F:H)/I:I</f>
        <v>50.032117163412124</v>
      </c>
      <c r="O194" s="10">
        <f>SUM(Posts_2[[#This Row],[Likes]:[Comments]])</f>
        <v>3009</v>
      </c>
    </row>
    <row r="195" spans="1:15" x14ac:dyDescent="0.3">
      <c r="A195" t="s">
        <v>550</v>
      </c>
      <c r="B195" t="s">
        <v>33</v>
      </c>
      <c r="C195" s="3">
        <v>45646</v>
      </c>
      <c r="D195" t="s">
        <v>45</v>
      </c>
      <c r="E195" t="s">
        <v>88</v>
      </c>
      <c r="F195">
        <v>2107</v>
      </c>
      <c r="G195">
        <v>550</v>
      </c>
      <c r="H195">
        <v>349</v>
      </c>
      <c r="I195">
        <v>35819</v>
      </c>
      <c r="J195">
        <v>35340</v>
      </c>
      <c r="K195">
        <v>191</v>
      </c>
      <c r="L195" t="s">
        <v>37</v>
      </c>
      <c r="M195" t="s">
        <v>38</v>
      </c>
      <c r="N195" s="4">
        <f t="shared" si="3"/>
        <v>32.618163544487565</v>
      </c>
      <c r="O195" s="10">
        <f>SUM(Posts_2[[#This Row],[Likes]:[Comments]])</f>
        <v>3006</v>
      </c>
    </row>
    <row r="196" spans="1:15" x14ac:dyDescent="0.3">
      <c r="A196" t="s">
        <v>410</v>
      </c>
      <c r="B196" t="s">
        <v>27</v>
      </c>
      <c r="C196" s="3">
        <v>45626</v>
      </c>
      <c r="D196" t="s">
        <v>45</v>
      </c>
      <c r="E196" t="s">
        <v>68</v>
      </c>
      <c r="F196">
        <v>2509</v>
      </c>
      <c r="G196">
        <v>324</v>
      </c>
      <c r="H196">
        <v>171</v>
      </c>
      <c r="I196">
        <v>35126</v>
      </c>
      <c r="J196">
        <v>34685</v>
      </c>
      <c r="K196">
        <v>277</v>
      </c>
      <c r="L196" t="s">
        <v>30</v>
      </c>
      <c r="M196" t="s">
        <v>25</v>
      </c>
      <c r="N196" s="4">
        <f t="shared" si="3"/>
        <v>33.261686500028468</v>
      </c>
      <c r="O196" s="10">
        <f>SUM(Posts_2[[#This Row],[Likes]:[Comments]])</f>
        <v>3004</v>
      </c>
    </row>
    <row r="197" spans="1:15" x14ac:dyDescent="0.3">
      <c r="A197" t="s">
        <v>150</v>
      </c>
      <c r="B197" t="s">
        <v>14</v>
      </c>
      <c r="C197" s="3">
        <v>45453</v>
      </c>
      <c r="D197" t="s">
        <v>35</v>
      </c>
      <c r="E197" t="s">
        <v>149</v>
      </c>
      <c r="F197">
        <v>2164</v>
      </c>
      <c r="G197">
        <v>549</v>
      </c>
      <c r="H197">
        <v>274</v>
      </c>
      <c r="I197">
        <v>28132</v>
      </c>
      <c r="J197">
        <v>27361</v>
      </c>
      <c r="K197">
        <v>177</v>
      </c>
      <c r="L197" t="s">
        <v>30</v>
      </c>
      <c r="M197" t="s">
        <v>38</v>
      </c>
      <c r="N197" s="4">
        <f t="shared" si="3"/>
        <v>41.530996729702828</v>
      </c>
      <c r="O197" s="10">
        <f>SUM(Posts_2[[#This Row],[Likes]:[Comments]])</f>
        <v>2987</v>
      </c>
    </row>
    <row r="198" spans="1:15" x14ac:dyDescent="0.3">
      <c r="A198" t="s">
        <v>152</v>
      </c>
      <c r="B198" t="s">
        <v>27</v>
      </c>
      <c r="C198" s="3">
        <v>45476</v>
      </c>
      <c r="D198" t="s">
        <v>35</v>
      </c>
      <c r="E198" t="s">
        <v>154</v>
      </c>
      <c r="F198">
        <v>2754</v>
      </c>
      <c r="G198">
        <v>130</v>
      </c>
      <c r="H198">
        <v>90</v>
      </c>
      <c r="I198">
        <v>22032</v>
      </c>
      <c r="J198">
        <v>21288</v>
      </c>
      <c r="K198">
        <v>112</v>
      </c>
      <c r="L198" t="s">
        <v>30</v>
      </c>
      <c r="M198" t="s">
        <v>31</v>
      </c>
      <c r="N198" s="4">
        <f t="shared" si="3"/>
        <v>53.029684095860567</v>
      </c>
      <c r="O198" s="10">
        <f>SUM(Posts_2[[#This Row],[Likes]:[Comments]])</f>
        <v>2974</v>
      </c>
    </row>
    <row r="199" spans="1:15" x14ac:dyDescent="0.3">
      <c r="A199" t="s">
        <v>297</v>
      </c>
      <c r="B199" t="s">
        <v>14</v>
      </c>
      <c r="C199" s="3">
        <v>45494</v>
      </c>
      <c r="D199" t="s">
        <v>22</v>
      </c>
      <c r="E199" t="s">
        <v>23</v>
      </c>
      <c r="F199">
        <v>2147</v>
      </c>
      <c r="G199">
        <v>430</v>
      </c>
      <c r="H199">
        <v>393</v>
      </c>
      <c r="I199">
        <v>17176</v>
      </c>
      <c r="J199">
        <v>16483</v>
      </c>
      <c r="K199">
        <v>170</v>
      </c>
      <c r="L199" t="s">
        <v>30</v>
      </c>
      <c r="M199" t="s">
        <v>620</v>
      </c>
      <c r="N199" s="4">
        <f t="shared" si="3"/>
        <v>68.022240335351654</v>
      </c>
      <c r="O199" s="10">
        <f>SUM(Posts_2[[#This Row],[Likes]:[Comments]])</f>
        <v>2970</v>
      </c>
    </row>
    <row r="200" spans="1:15" x14ac:dyDescent="0.3">
      <c r="A200" t="s">
        <v>26</v>
      </c>
      <c r="B200" t="s">
        <v>27</v>
      </c>
      <c r="C200" s="3">
        <v>45789</v>
      </c>
      <c r="D200" t="s">
        <v>16</v>
      </c>
      <c r="E200" t="s">
        <v>29</v>
      </c>
      <c r="F200">
        <v>2795</v>
      </c>
      <c r="G200">
        <v>105</v>
      </c>
      <c r="H200">
        <v>49</v>
      </c>
      <c r="I200">
        <v>53105</v>
      </c>
      <c r="J200">
        <v>52307</v>
      </c>
      <c r="K200">
        <v>204</v>
      </c>
      <c r="L200" t="s">
        <v>30</v>
      </c>
      <c r="M200" t="s">
        <v>31</v>
      </c>
      <c r="N200" s="4">
        <f t="shared" si="3"/>
        <v>22.000753224743434</v>
      </c>
      <c r="O200" s="10">
        <f>SUM(Posts_2[[#This Row],[Likes]:[Comments]])</f>
        <v>2949</v>
      </c>
    </row>
    <row r="201" spans="1:15" x14ac:dyDescent="0.3">
      <c r="A201" t="s">
        <v>155</v>
      </c>
      <c r="B201" t="s">
        <v>43</v>
      </c>
      <c r="C201" s="3">
        <v>45456</v>
      </c>
      <c r="D201" t="s">
        <v>45</v>
      </c>
      <c r="E201" t="s">
        <v>46</v>
      </c>
      <c r="F201">
        <v>2200</v>
      </c>
      <c r="G201">
        <v>504</v>
      </c>
      <c r="H201">
        <v>239</v>
      </c>
      <c r="I201">
        <v>37400</v>
      </c>
      <c r="J201">
        <v>36938</v>
      </c>
      <c r="K201">
        <v>225</v>
      </c>
      <c r="L201" t="s">
        <v>62</v>
      </c>
      <c r="M201" t="s">
        <v>25</v>
      </c>
      <c r="N201" s="4">
        <f t="shared" si="3"/>
        <v>31.239304812834224</v>
      </c>
      <c r="O201" s="10">
        <f>SUM(Posts_2[[#This Row],[Likes]:[Comments]])</f>
        <v>2943</v>
      </c>
    </row>
    <row r="202" spans="1:15" x14ac:dyDescent="0.3">
      <c r="A202" t="s">
        <v>528</v>
      </c>
      <c r="B202" t="s">
        <v>43</v>
      </c>
      <c r="C202" s="3">
        <v>45509</v>
      </c>
      <c r="D202" t="s">
        <v>16</v>
      </c>
      <c r="E202" t="s">
        <v>65</v>
      </c>
      <c r="F202">
        <v>1741</v>
      </c>
      <c r="G202">
        <v>831</v>
      </c>
      <c r="H202">
        <v>345</v>
      </c>
      <c r="I202">
        <v>17410</v>
      </c>
      <c r="J202">
        <v>16844</v>
      </c>
      <c r="K202">
        <v>58</v>
      </c>
      <c r="L202" t="s">
        <v>37</v>
      </c>
      <c r="M202" t="s">
        <v>31</v>
      </c>
      <c r="N202" s="4">
        <f t="shared" si="3"/>
        <v>67.107983917288919</v>
      </c>
      <c r="O202" s="10">
        <f>SUM(Posts_2[[#This Row],[Likes]:[Comments]])</f>
        <v>2917</v>
      </c>
    </row>
    <row r="203" spans="1:15" x14ac:dyDescent="0.3">
      <c r="A203" t="s">
        <v>32</v>
      </c>
      <c r="B203" t="s">
        <v>33</v>
      </c>
      <c r="C203" s="3">
        <v>45516</v>
      </c>
      <c r="D203" t="s">
        <v>35</v>
      </c>
      <c r="E203" t="s">
        <v>36</v>
      </c>
      <c r="F203">
        <v>2404</v>
      </c>
      <c r="G203">
        <v>363</v>
      </c>
      <c r="H203">
        <v>138</v>
      </c>
      <c r="I203">
        <v>19232</v>
      </c>
      <c r="J203">
        <v>18636</v>
      </c>
      <c r="K203">
        <v>128</v>
      </c>
      <c r="L203" t="s">
        <v>37</v>
      </c>
      <c r="M203" t="s">
        <v>38</v>
      </c>
      <c r="N203" s="4">
        <f t="shared" si="3"/>
        <v>60.750311980033281</v>
      </c>
      <c r="O203" s="10">
        <f>SUM(Posts_2[[#This Row],[Likes]:[Comments]])</f>
        <v>2905</v>
      </c>
    </row>
    <row r="204" spans="1:15" x14ac:dyDescent="0.3">
      <c r="A204" t="s">
        <v>60</v>
      </c>
      <c r="B204" t="s">
        <v>33</v>
      </c>
      <c r="C204" s="3">
        <v>45690</v>
      </c>
      <c r="D204" t="s">
        <v>35</v>
      </c>
      <c r="E204" t="s">
        <v>36</v>
      </c>
      <c r="F204">
        <v>1792</v>
      </c>
      <c r="G204">
        <v>614</v>
      </c>
      <c r="H204">
        <v>497</v>
      </c>
      <c r="I204">
        <v>25088</v>
      </c>
      <c r="J204">
        <v>24675</v>
      </c>
      <c r="K204">
        <v>65</v>
      </c>
      <c r="L204" t="s">
        <v>62</v>
      </c>
      <c r="M204" t="s">
        <v>38</v>
      </c>
      <c r="N204" s="4">
        <f t="shared" si="3"/>
        <v>46.570073341836732</v>
      </c>
      <c r="O204" s="10">
        <f>SUM(Posts_2[[#This Row],[Likes]:[Comments]])</f>
        <v>2903</v>
      </c>
    </row>
    <row r="205" spans="1:15" x14ac:dyDescent="0.3">
      <c r="A205" t="s">
        <v>301</v>
      </c>
      <c r="B205" t="s">
        <v>33</v>
      </c>
      <c r="C205" s="3">
        <v>45720</v>
      </c>
      <c r="D205" t="s">
        <v>35</v>
      </c>
      <c r="E205" t="s">
        <v>36</v>
      </c>
      <c r="F205">
        <v>1947</v>
      </c>
      <c r="G205">
        <v>842</v>
      </c>
      <c r="H205">
        <v>101</v>
      </c>
      <c r="I205">
        <v>21417</v>
      </c>
      <c r="J205">
        <v>20967</v>
      </c>
      <c r="K205">
        <v>186</v>
      </c>
      <c r="L205" t="s">
        <v>62</v>
      </c>
      <c r="M205" t="s">
        <v>25</v>
      </c>
      <c r="N205" s="4">
        <f t="shared" si="3"/>
        <v>54.552458327496851</v>
      </c>
      <c r="O205" s="10">
        <f>SUM(Posts_2[[#This Row],[Likes]:[Comments]])</f>
        <v>2890</v>
      </c>
    </row>
    <row r="206" spans="1:15" x14ac:dyDescent="0.3">
      <c r="A206" t="s">
        <v>494</v>
      </c>
      <c r="B206" t="s">
        <v>14</v>
      </c>
      <c r="C206" s="3">
        <v>45671</v>
      </c>
      <c r="D206" t="s">
        <v>52</v>
      </c>
      <c r="E206" t="s">
        <v>132</v>
      </c>
      <c r="F206">
        <v>2692</v>
      </c>
      <c r="G206">
        <v>115</v>
      </c>
      <c r="H206">
        <v>64</v>
      </c>
      <c r="I206">
        <v>21536</v>
      </c>
      <c r="J206">
        <v>21120</v>
      </c>
      <c r="K206">
        <v>224</v>
      </c>
      <c r="L206" t="s">
        <v>62</v>
      </c>
      <c r="M206" t="s">
        <v>25</v>
      </c>
      <c r="N206" s="4">
        <f t="shared" si="3"/>
        <v>54.251021545319468</v>
      </c>
      <c r="O206" s="10">
        <f>SUM(Posts_2[[#This Row],[Likes]:[Comments]])</f>
        <v>2871</v>
      </c>
    </row>
    <row r="207" spans="1:15" x14ac:dyDescent="0.3">
      <c r="A207" t="s">
        <v>314</v>
      </c>
      <c r="B207" t="s">
        <v>43</v>
      </c>
      <c r="C207" s="3">
        <v>45488</v>
      </c>
      <c r="D207" t="s">
        <v>52</v>
      </c>
      <c r="E207" t="s">
        <v>59</v>
      </c>
      <c r="F207">
        <v>2291</v>
      </c>
      <c r="G207">
        <v>78</v>
      </c>
      <c r="H207">
        <v>485</v>
      </c>
      <c r="I207">
        <v>18328</v>
      </c>
      <c r="J207">
        <v>18101</v>
      </c>
      <c r="K207">
        <v>10</v>
      </c>
      <c r="L207" t="s">
        <v>37</v>
      </c>
      <c r="M207" t="s">
        <v>25</v>
      </c>
      <c r="N207" s="4">
        <f t="shared" si="3"/>
        <v>63.746726320384113</v>
      </c>
      <c r="O207" s="10">
        <f>SUM(Posts_2[[#This Row],[Likes]:[Comments]])</f>
        <v>2854</v>
      </c>
    </row>
    <row r="208" spans="1:15" x14ac:dyDescent="0.3">
      <c r="A208" t="s">
        <v>314</v>
      </c>
      <c r="B208" t="s">
        <v>43</v>
      </c>
      <c r="C208" s="3">
        <v>45488</v>
      </c>
      <c r="D208" t="s">
        <v>52</v>
      </c>
      <c r="E208" t="s">
        <v>59</v>
      </c>
      <c r="F208">
        <v>2291</v>
      </c>
      <c r="G208">
        <v>78</v>
      </c>
      <c r="H208">
        <v>485</v>
      </c>
      <c r="I208">
        <v>18328</v>
      </c>
      <c r="J208">
        <v>18101</v>
      </c>
      <c r="K208">
        <v>10</v>
      </c>
      <c r="L208" t="s">
        <v>607</v>
      </c>
      <c r="M208" t="s">
        <v>25</v>
      </c>
      <c r="N208" s="4">
        <f t="shared" si="3"/>
        <v>63.746726320384113</v>
      </c>
      <c r="O208" s="10">
        <f>SUM(Posts_2[[#This Row],[Likes]:[Comments]])</f>
        <v>2854</v>
      </c>
    </row>
    <row r="209" spans="1:15" x14ac:dyDescent="0.3">
      <c r="A209" t="s">
        <v>137</v>
      </c>
      <c r="B209" t="s">
        <v>33</v>
      </c>
      <c r="C209" s="3">
        <v>45640</v>
      </c>
      <c r="D209" t="s">
        <v>45</v>
      </c>
      <c r="E209" t="s">
        <v>88</v>
      </c>
      <c r="F209">
        <v>2174</v>
      </c>
      <c r="G209">
        <v>658</v>
      </c>
      <c r="H209">
        <v>15</v>
      </c>
      <c r="I209">
        <v>13044</v>
      </c>
      <c r="J209">
        <v>12206</v>
      </c>
      <c r="K209">
        <v>137</v>
      </c>
      <c r="L209" t="s">
        <v>30</v>
      </c>
      <c r="M209" t="s">
        <v>31</v>
      </c>
      <c r="N209" s="4">
        <f t="shared" si="3"/>
        <v>89.569917203311874</v>
      </c>
      <c r="O209" s="10">
        <f>SUM(Posts_2[[#This Row],[Likes]:[Comments]])</f>
        <v>2847</v>
      </c>
    </row>
    <row r="210" spans="1:15" x14ac:dyDescent="0.3">
      <c r="A210" t="s">
        <v>513</v>
      </c>
      <c r="B210" t="s">
        <v>14</v>
      </c>
      <c r="C210" s="3">
        <v>45708</v>
      </c>
      <c r="D210" t="s">
        <v>45</v>
      </c>
      <c r="E210" t="s">
        <v>49</v>
      </c>
      <c r="F210">
        <v>1877</v>
      </c>
      <c r="G210">
        <v>745</v>
      </c>
      <c r="H210">
        <v>225</v>
      </c>
      <c r="I210">
        <v>11262</v>
      </c>
      <c r="J210">
        <v>10967</v>
      </c>
      <c r="K210">
        <v>41</v>
      </c>
      <c r="L210" t="s">
        <v>37</v>
      </c>
      <c r="M210" t="s">
        <v>38</v>
      </c>
      <c r="N210" s="4">
        <f t="shared" si="3"/>
        <v>103.74267448055407</v>
      </c>
      <c r="O210" s="10">
        <f>SUM(Posts_2[[#This Row],[Likes]:[Comments]])</f>
        <v>2847</v>
      </c>
    </row>
    <row r="211" spans="1:15" x14ac:dyDescent="0.3">
      <c r="A211" t="s">
        <v>245</v>
      </c>
      <c r="B211" t="s">
        <v>14</v>
      </c>
      <c r="C211" s="3">
        <v>45453</v>
      </c>
      <c r="D211" t="s">
        <v>35</v>
      </c>
      <c r="E211" t="s">
        <v>149</v>
      </c>
      <c r="F211">
        <v>1575</v>
      </c>
      <c r="G211">
        <v>771</v>
      </c>
      <c r="H211">
        <v>486</v>
      </c>
      <c r="I211">
        <v>25200</v>
      </c>
      <c r="J211">
        <v>24826</v>
      </c>
      <c r="K211">
        <v>17</v>
      </c>
      <c r="L211" t="s">
        <v>62</v>
      </c>
      <c r="M211" t="s">
        <v>38</v>
      </c>
      <c r="N211" s="4">
        <f t="shared" si="3"/>
        <v>46.363095238095241</v>
      </c>
      <c r="O211" s="10">
        <f>SUM(Posts_2[[#This Row],[Likes]:[Comments]])</f>
        <v>2832</v>
      </c>
    </row>
    <row r="212" spans="1:15" x14ac:dyDescent="0.3">
      <c r="A212" t="s">
        <v>171</v>
      </c>
      <c r="B212" t="s">
        <v>33</v>
      </c>
      <c r="C212" s="3">
        <v>45465</v>
      </c>
      <c r="D212" t="s">
        <v>22</v>
      </c>
      <c r="E212" t="s">
        <v>113</v>
      </c>
      <c r="F212">
        <v>2180</v>
      </c>
      <c r="G212">
        <v>263</v>
      </c>
      <c r="H212">
        <v>387</v>
      </c>
      <c r="I212">
        <v>30520</v>
      </c>
      <c r="J212">
        <v>30059</v>
      </c>
      <c r="K212">
        <v>174</v>
      </c>
      <c r="L212" t="s">
        <v>37</v>
      </c>
      <c r="M212" t="s">
        <v>620</v>
      </c>
      <c r="N212" s="4">
        <f t="shared" si="3"/>
        <v>38.281454783748359</v>
      </c>
      <c r="O212" s="10">
        <f>SUM(Posts_2[[#This Row],[Likes]:[Comments]])</f>
        <v>2830</v>
      </c>
    </row>
    <row r="213" spans="1:15" x14ac:dyDescent="0.3">
      <c r="A213" t="s">
        <v>443</v>
      </c>
      <c r="B213" t="s">
        <v>43</v>
      </c>
      <c r="C213" s="3">
        <v>45573</v>
      </c>
      <c r="D213" t="s">
        <v>16</v>
      </c>
      <c r="E213" t="s">
        <v>65</v>
      </c>
      <c r="F213">
        <v>1814</v>
      </c>
      <c r="G213">
        <v>653</v>
      </c>
      <c r="H213">
        <v>363</v>
      </c>
      <c r="I213">
        <v>25396</v>
      </c>
      <c r="J213">
        <v>25286</v>
      </c>
      <c r="K213">
        <v>39</v>
      </c>
      <c r="L213" t="s">
        <v>62</v>
      </c>
      <c r="M213" t="s">
        <v>19</v>
      </c>
      <c r="N213" s="4">
        <f t="shared" si="3"/>
        <v>46.0052764214837</v>
      </c>
      <c r="O213" s="10">
        <f>SUM(Posts_2[[#This Row],[Likes]:[Comments]])</f>
        <v>2830</v>
      </c>
    </row>
    <row r="214" spans="1:15" x14ac:dyDescent="0.3">
      <c r="A214" t="s">
        <v>443</v>
      </c>
      <c r="B214" t="s">
        <v>43</v>
      </c>
      <c r="C214" s="3">
        <v>45573</v>
      </c>
      <c r="D214" t="s">
        <v>16</v>
      </c>
      <c r="E214" t="s">
        <v>65</v>
      </c>
      <c r="F214">
        <v>1814</v>
      </c>
      <c r="G214">
        <v>653</v>
      </c>
      <c r="H214">
        <v>363</v>
      </c>
      <c r="I214">
        <v>25396</v>
      </c>
      <c r="J214">
        <v>25286</v>
      </c>
      <c r="K214">
        <v>39</v>
      </c>
      <c r="L214" t="s">
        <v>607</v>
      </c>
      <c r="M214" t="s">
        <v>19</v>
      </c>
      <c r="N214" s="4">
        <f t="shared" si="3"/>
        <v>46.0052764214837</v>
      </c>
      <c r="O214" s="10">
        <f>SUM(Posts_2[[#This Row],[Likes]:[Comments]])</f>
        <v>2830</v>
      </c>
    </row>
    <row r="215" spans="1:15" x14ac:dyDescent="0.3">
      <c r="A215" t="s">
        <v>439</v>
      </c>
      <c r="B215" t="s">
        <v>43</v>
      </c>
      <c r="C215" s="3">
        <v>45454</v>
      </c>
      <c r="D215" t="s">
        <v>45</v>
      </c>
      <c r="E215" t="s">
        <v>46</v>
      </c>
      <c r="F215">
        <v>1869</v>
      </c>
      <c r="G215">
        <v>453</v>
      </c>
      <c r="H215">
        <v>490</v>
      </c>
      <c r="I215">
        <v>14952</v>
      </c>
      <c r="J215">
        <v>14309</v>
      </c>
      <c r="K215">
        <v>275</v>
      </c>
      <c r="L215" t="s">
        <v>30</v>
      </c>
      <c r="M215" t="s">
        <v>38</v>
      </c>
      <c r="N215" s="4">
        <f t="shared" si="3"/>
        <v>78.140048154093094</v>
      </c>
      <c r="O215" s="10">
        <f>SUM(Posts_2[[#This Row],[Likes]:[Comments]])</f>
        <v>2812</v>
      </c>
    </row>
    <row r="216" spans="1:15" x14ac:dyDescent="0.3">
      <c r="A216" t="s">
        <v>461</v>
      </c>
      <c r="B216" t="s">
        <v>43</v>
      </c>
      <c r="C216" s="3">
        <v>45724</v>
      </c>
      <c r="D216" t="s">
        <v>52</v>
      </c>
      <c r="E216" t="s">
        <v>59</v>
      </c>
      <c r="F216">
        <v>2382</v>
      </c>
      <c r="G216">
        <v>265</v>
      </c>
      <c r="H216">
        <v>134</v>
      </c>
      <c r="I216">
        <v>38112</v>
      </c>
      <c r="J216">
        <v>37437</v>
      </c>
      <c r="K216">
        <v>249</v>
      </c>
      <c r="L216" t="s">
        <v>62</v>
      </c>
      <c r="M216" t="s">
        <v>38</v>
      </c>
      <c r="N216" s="4">
        <f t="shared" si="3"/>
        <v>30.655698992443323</v>
      </c>
      <c r="O216" s="10">
        <f>SUM(Posts_2[[#This Row],[Likes]:[Comments]])</f>
        <v>2781</v>
      </c>
    </row>
    <row r="217" spans="1:15" x14ac:dyDescent="0.3">
      <c r="A217" t="s">
        <v>346</v>
      </c>
      <c r="B217" t="s">
        <v>43</v>
      </c>
      <c r="C217" s="3">
        <v>45621</v>
      </c>
      <c r="D217" t="s">
        <v>35</v>
      </c>
      <c r="E217" t="s">
        <v>71</v>
      </c>
      <c r="F217">
        <v>2120</v>
      </c>
      <c r="G217">
        <v>158</v>
      </c>
      <c r="H217">
        <v>488</v>
      </c>
      <c r="I217">
        <v>12720</v>
      </c>
      <c r="J217">
        <v>12085</v>
      </c>
      <c r="K217">
        <v>17</v>
      </c>
      <c r="L217" t="s">
        <v>62</v>
      </c>
      <c r="M217" t="s">
        <v>25</v>
      </c>
      <c r="N217" s="4">
        <f t="shared" si="3"/>
        <v>91.851415094339629</v>
      </c>
      <c r="O217" s="10">
        <f>SUM(Posts_2[[#This Row],[Likes]:[Comments]])</f>
        <v>2766</v>
      </c>
    </row>
    <row r="218" spans="1:15" x14ac:dyDescent="0.3">
      <c r="A218" t="s">
        <v>319</v>
      </c>
      <c r="B218" t="s">
        <v>27</v>
      </c>
      <c r="C218" s="3">
        <v>45741</v>
      </c>
      <c r="D218" t="s">
        <v>35</v>
      </c>
      <c r="E218" t="s">
        <v>154</v>
      </c>
      <c r="F218">
        <v>2070</v>
      </c>
      <c r="G218">
        <v>275</v>
      </c>
      <c r="H218">
        <v>386</v>
      </c>
      <c r="I218">
        <v>39330</v>
      </c>
      <c r="J218">
        <v>38627</v>
      </c>
      <c r="K218">
        <v>114</v>
      </c>
      <c r="L218" t="s">
        <v>62</v>
      </c>
      <c r="M218" t="s">
        <v>38</v>
      </c>
      <c r="N218" s="4">
        <f t="shared" si="3"/>
        <v>29.706331045003814</v>
      </c>
      <c r="O218" s="10">
        <f>SUM(Posts_2[[#This Row],[Likes]:[Comments]])</f>
        <v>2731</v>
      </c>
    </row>
    <row r="219" spans="1:15" x14ac:dyDescent="0.3">
      <c r="A219" t="s">
        <v>148</v>
      </c>
      <c r="B219" t="s">
        <v>14</v>
      </c>
      <c r="C219" s="3">
        <v>45727</v>
      </c>
      <c r="D219" t="s">
        <v>35</v>
      </c>
      <c r="E219" t="s">
        <v>149</v>
      </c>
      <c r="F219">
        <v>1950</v>
      </c>
      <c r="G219">
        <v>295</v>
      </c>
      <c r="H219">
        <v>478</v>
      </c>
      <c r="I219">
        <v>37050</v>
      </c>
      <c r="J219">
        <v>36272</v>
      </c>
      <c r="K219">
        <v>119</v>
      </c>
      <c r="L219" t="s">
        <v>30</v>
      </c>
      <c r="M219" t="s">
        <v>620</v>
      </c>
      <c r="N219" s="4">
        <f t="shared" si="3"/>
        <v>31.534412955465587</v>
      </c>
      <c r="O219" s="10">
        <f>SUM(Posts_2[[#This Row],[Likes]:[Comments]])</f>
        <v>2723</v>
      </c>
    </row>
    <row r="220" spans="1:15" x14ac:dyDescent="0.3">
      <c r="A220" t="s">
        <v>107</v>
      </c>
      <c r="B220" t="s">
        <v>33</v>
      </c>
      <c r="C220" s="3">
        <v>45688</v>
      </c>
      <c r="D220" t="s">
        <v>45</v>
      </c>
      <c r="E220" t="s">
        <v>88</v>
      </c>
      <c r="F220">
        <v>2566</v>
      </c>
      <c r="G220">
        <v>118</v>
      </c>
      <c r="H220">
        <v>37</v>
      </c>
      <c r="I220">
        <v>12830</v>
      </c>
      <c r="J220">
        <v>12264</v>
      </c>
      <c r="K220">
        <v>221</v>
      </c>
      <c r="L220" t="s">
        <v>62</v>
      </c>
      <c r="M220" t="s">
        <v>31</v>
      </c>
      <c r="N220" s="4">
        <f t="shared" si="3"/>
        <v>91.063912704598593</v>
      </c>
      <c r="O220" s="10">
        <f>SUM(Posts_2[[#This Row],[Likes]:[Comments]])</f>
        <v>2721</v>
      </c>
    </row>
    <row r="221" spans="1:15" x14ac:dyDescent="0.3">
      <c r="A221" t="s">
        <v>225</v>
      </c>
      <c r="B221" t="s">
        <v>14</v>
      </c>
      <c r="C221" s="3">
        <v>45449</v>
      </c>
      <c r="D221" t="s">
        <v>74</v>
      </c>
      <c r="E221" t="s">
        <v>145</v>
      </c>
      <c r="F221">
        <v>1436</v>
      </c>
      <c r="G221">
        <v>765</v>
      </c>
      <c r="H221">
        <v>496</v>
      </c>
      <c r="I221">
        <v>12924</v>
      </c>
      <c r="J221">
        <v>12701</v>
      </c>
      <c r="K221">
        <v>197</v>
      </c>
      <c r="L221" t="s">
        <v>62</v>
      </c>
      <c r="M221" t="s">
        <v>31</v>
      </c>
      <c r="N221" s="4">
        <f t="shared" si="3"/>
        <v>90.401578458681527</v>
      </c>
      <c r="O221" s="10">
        <f>SUM(Posts_2[[#This Row],[Likes]:[Comments]])</f>
        <v>2697</v>
      </c>
    </row>
    <row r="222" spans="1:15" x14ac:dyDescent="0.3">
      <c r="A222" t="s">
        <v>135</v>
      </c>
      <c r="B222" t="s">
        <v>27</v>
      </c>
      <c r="C222" s="3">
        <v>45721</v>
      </c>
      <c r="D222" t="s">
        <v>16</v>
      </c>
      <c r="E222" t="s">
        <v>29</v>
      </c>
      <c r="F222">
        <v>1543</v>
      </c>
      <c r="G222">
        <v>820</v>
      </c>
      <c r="H222">
        <v>333</v>
      </c>
      <c r="I222">
        <v>12344</v>
      </c>
      <c r="J222">
        <v>11496</v>
      </c>
      <c r="K222">
        <v>241</v>
      </c>
      <c r="L222" t="s">
        <v>37</v>
      </c>
      <c r="M222" t="s">
        <v>620</v>
      </c>
      <c r="N222" s="4">
        <f t="shared" si="3"/>
        <v>94.649222294232018</v>
      </c>
      <c r="O222" s="10">
        <f>SUM(Posts_2[[#This Row],[Likes]:[Comments]])</f>
        <v>2696</v>
      </c>
    </row>
    <row r="223" spans="1:15" x14ac:dyDescent="0.3">
      <c r="A223" t="s">
        <v>302</v>
      </c>
      <c r="B223" t="s">
        <v>43</v>
      </c>
      <c r="C223" s="3">
        <v>45694</v>
      </c>
      <c r="D223" t="s">
        <v>52</v>
      </c>
      <c r="E223" t="s">
        <v>59</v>
      </c>
      <c r="F223">
        <v>2072</v>
      </c>
      <c r="G223">
        <v>532</v>
      </c>
      <c r="H223">
        <v>71</v>
      </c>
      <c r="I223">
        <v>37296</v>
      </c>
      <c r="J223">
        <v>36467</v>
      </c>
      <c r="K223">
        <v>25</v>
      </c>
      <c r="L223" t="s">
        <v>30</v>
      </c>
      <c r="M223" t="s">
        <v>38</v>
      </c>
      <c r="N223" s="4">
        <f t="shared" si="3"/>
        <v>31.326415701415701</v>
      </c>
      <c r="O223" s="10">
        <f>SUM(Posts_2[[#This Row],[Likes]:[Comments]])</f>
        <v>2675</v>
      </c>
    </row>
    <row r="224" spans="1:15" x14ac:dyDescent="0.3">
      <c r="A224" t="s">
        <v>202</v>
      </c>
      <c r="B224" t="s">
        <v>33</v>
      </c>
      <c r="C224" s="3">
        <v>45505</v>
      </c>
      <c r="D224" t="s">
        <v>16</v>
      </c>
      <c r="E224" t="s">
        <v>82</v>
      </c>
      <c r="F224">
        <v>1674</v>
      </c>
      <c r="G224">
        <v>929</v>
      </c>
      <c r="H224">
        <v>37</v>
      </c>
      <c r="I224">
        <v>21762</v>
      </c>
      <c r="J224">
        <v>20998</v>
      </c>
      <c r="K224">
        <v>255</v>
      </c>
      <c r="L224" t="s">
        <v>30</v>
      </c>
      <c r="M224" t="s">
        <v>38</v>
      </c>
      <c r="N224" s="4">
        <f t="shared" si="3"/>
        <v>53.687620623104493</v>
      </c>
      <c r="O224" s="10">
        <f>SUM(Posts_2[[#This Row],[Likes]:[Comments]])</f>
        <v>2640</v>
      </c>
    </row>
    <row r="225" spans="1:15" x14ac:dyDescent="0.3">
      <c r="A225" t="s">
        <v>562</v>
      </c>
      <c r="B225" t="s">
        <v>14</v>
      </c>
      <c r="C225" s="3">
        <v>45650</v>
      </c>
      <c r="D225" t="s">
        <v>22</v>
      </c>
      <c r="E225" t="s">
        <v>23</v>
      </c>
      <c r="F225">
        <v>2166</v>
      </c>
      <c r="G225">
        <v>354</v>
      </c>
      <c r="H225">
        <v>117</v>
      </c>
      <c r="I225">
        <v>10830</v>
      </c>
      <c r="J225">
        <v>10245</v>
      </c>
      <c r="K225">
        <v>24</v>
      </c>
      <c r="L225" t="s">
        <v>37</v>
      </c>
      <c r="M225" t="s">
        <v>38</v>
      </c>
      <c r="N225" s="4">
        <f t="shared" si="3"/>
        <v>107.8808864265928</v>
      </c>
      <c r="O225" s="10">
        <f>SUM(Posts_2[[#This Row],[Likes]:[Comments]])</f>
        <v>2637</v>
      </c>
    </row>
    <row r="226" spans="1:15" x14ac:dyDescent="0.3">
      <c r="A226" t="s">
        <v>277</v>
      </c>
      <c r="B226" t="s">
        <v>14</v>
      </c>
      <c r="C226" s="3">
        <v>45788</v>
      </c>
      <c r="D226" t="s">
        <v>52</v>
      </c>
      <c r="E226" t="s">
        <v>132</v>
      </c>
      <c r="F226">
        <v>2493</v>
      </c>
      <c r="G226">
        <v>97</v>
      </c>
      <c r="H226">
        <v>44</v>
      </c>
      <c r="I226">
        <v>42381</v>
      </c>
      <c r="J226">
        <v>41991</v>
      </c>
      <c r="K226">
        <v>242</v>
      </c>
      <c r="L226" t="s">
        <v>30</v>
      </c>
      <c r="M226" t="s">
        <v>38</v>
      </c>
      <c r="N226" s="4">
        <f t="shared" si="3"/>
        <v>27.567778013732568</v>
      </c>
      <c r="O226" s="10">
        <f>SUM(Posts_2[[#This Row],[Likes]:[Comments]])</f>
        <v>2634</v>
      </c>
    </row>
    <row r="227" spans="1:15" x14ac:dyDescent="0.3">
      <c r="A227" t="s">
        <v>277</v>
      </c>
      <c r="B227" t="s">
        <v>14</v>
      </c>
      <c r="C227" s="3">
        <v>45788</v>
      </c>
      <c r="D227" t="s">
        <v>52</v>
      </c>
      <c r="E227" t="s">
        <v>132</v>
      </c>
      <c r="F227">
        <v>2493</v>
      </c>
      <c r="G227">
        <v>97</v>
      </c>
      <c r="H227">
        <v>44</v>
      </c>
      <c r="I227">
        <v>42381</v>
      </c>
      <c r="J227">
        <v>41991</v>
      </c>
      <c r="K227">
        <v>242</v>
      </c>
      <c r="L227" t="s">
        <v>612</v>
      </c>
      <c r="M227" t="s">
        <v>38</v>
      </c>
      <c r="N227" s="4">
        <f t="shared" si="3"/>
        <v>27.567778013732568</v>
      </c>
      <c r="O227" s="10">
        <f>SUM(Posts_2[[#This Row],[Likes]:[Comments]])</f>
        <v>2634</v>
      </c>
    </row>
    <row r="228" spans="1:15" x14ac:dyDescent="0.3">
      <c r="A228" t="s">
        <v>491</v>
      </c>
      <c r="B228" t="s">
        <v>43</v>
      </c>
      <c r="C228" s="3">
        <v>45775</v>
      </c>
      <c r="D228" t="s">
        <v>45</v>
      </c>
      <c r="E228" t="s">
        <v>46</v>
      </c>
      <c r="F228">
        <v>2089</v>
      </c>
      <c r="G228">
        <v>476</v>
      </c>
      <c r="H228">
        <v>69</v>
      </c>
      <c r="I228">
        <v>16712</v>
      </c>
      <c r="J228">
        <v>16309</v>
      </c>
      <c r="K228">
        <v>64</v>
      </c>
      <c r="L228" t="s">
        <v>62</v>
      </c>
      <c r="M228" t="s">
        <v>31</v>
      </c>
      <c r="N228" s="4">
        <f t="shared" si="3"/>
        <v>69.910842508377215</v>
      </c>
      <c r="O228" s="10">
        <f>SUM(Posts_2[[#This Row],[Likes]:[Comments]])</f>
        <v>2634</v>
      </c>
    </row>
    <row r="229" spans="1:15" x14ac:dyDescent="0.3">
      <c r="A229" t="s">
        <v>328</v>
      </c>
      <c r="B229" t="s">
        <v>14</v>
      </c>
      <c r="C229" s="3">
        <v>45459</v>
      </c>
      <c r="D229" t="s">
        <v>74</v>
      </c>
      <c r="E229" t="s">
        <v>145</v>
      </c>
      <c r="F229">
        <v>1702</v>
      </c>
      <c r="G229">
        <v>750</v>
      </c>
      <c r="H229">
        <v>179</v>
      </c>
      <c r="I229">
        <v>34040</v>
      </c>
      <c r="J229">
        <v>33174</v>
      </c>
      <c r="K229">
        <v>76</v>
      </c>
      <c r="L229" t="s">
        <v>37</v>
      </c>
      <c r="M229" t="s">
        <v>19</v>
      </c>
      <c r="N229" s="4">
        <f t="shared" si="3"/>
        <v>34.322855464159815</v>
      </c>
      <c r="O229" s="10">
        <f>SUM(Posts_2[[#This Row],[Likes]:[Comments]])</f>
        <v>2631</v>
      </c>
    </row>
    <row r="230" spans="1:15" x14ac:dyDescent="0.3">
      <c r="A230" t="s">
        <v>338</v>
      </c>
      <c r="B230" t="s">
        <v>27</v>
      </c>
      <c r="C230" s="3">
        <v>45647</v>
      </c>
      <c r="D230" t="s">
        <v>52</v>
      </c>
      <c r="E230" t="s">
        <v>53</v>
      </c>
      <c r="F230">
        <v>2283</v>
      </c>
      <c r="G230">
        <v>210</v>
      </c>
      <c r="H230">
        <v>130</v>
      </c>
      <c r="I230">
        <v>22830</v>
      </c>
      <c r="J230">
        <v>22617</v>
      </c>
      <c r="K230">
        <v>143</v>
      </c>
      <c r="L230" t="s">
        <v>62</v>
      </c>
      <c r="M230" t="s">
        <v>25</v>
      </c>
      <c r="N230" s="4">
        <f t="shared" si="3"/>
        <v>51.176084099868596</v>
      </c>
      <c r="O230" s="10">
        <f>SUM(Posts_2[[#This Row],[Likes]:[Comments]])</f>
        <v>2623</v>
      </c>
    </row>
    <row r="231" spans="1:15" x14ac:dyDescent="0.3">
      <c r="A231" t="s">
        <v>229</v>
      </c>
      <c r="B231" t="s">
        <v>14</v>
      </c>
      <c r="C231" s="3">
        <v>45667</v>
      </c>
      <c r="D231" t="s">
        <v>52</v>
      </c>
      <c r="E231" t="s">
        <v>132</v>
      </c>
      <c r="F231">
        <v>2214</v>
      </c>
      <c r="G231">
        <v>249</v>
      </c>
      <c r="H231">
        <v>152</v>
      </c>
      <c r="I231">
        <v>15498</v>
      </c>
      <c r="J231">
        <v>14800</v>
      </c>
      <c r="K231">
        <v>180</v>
      </c>
      <c r="L231" t="s">
        <v>37</v>
      </c>
      <c r="M231" t="s">
        <v>620</v>
      </c>
      <c r="N231" s="4">
        <f t="shared" si="3"/>
        <v>75.387146728610148</v>
      </c>
      <c r="O231" s="10">
        <f>SUM(Posts_2[[#This Row],[Likes]:[Comments]])</f>
        <v>2615</v>
      </c>
    </row>
    <row r="232" spans="1:15" x14ac:dyDescent="0.3">
      <c r="A232" t="s">
        <v>114</v>
      </c>
      <c r="B232" t="s">
        <v>14</v>
      </c>
      <c r="C232" s="3">
        <v>45504</v>
      </c>
      <c r="D232" t="s">
        <v>45</v>
      </c>
      <c r="E232" t="s">
        <v>49</v>
      </c>
      <c r="F232">
        <v>2278</v>
      </c>
      <c r="G232">
        <v>10</v>
      </c>
      <c r="H232">
        <v>321</v>
      </c>
      <c r="I232">
        <v>13668</v>
      </c>
      <c r="J232">
        <v>12676</v>
      </c>
      <c r="K232">
        <v>275</v>
      </c>
      <c r="L232" t="s">
        <v>37</v>
      </c>
      <c r="M232" t="s">
        <v>19</v>
      </c>
      <c r="N232" s="4">
        <f t="shared" si="3"/>
        <v>85.480684811237921</v>
      </c>
      <c r="O232" s="10">
        <f>SUM(Posts_2[[#This Row],[Likes]:[Comments]])</f>
        <v>2609</v>
      </c>
    </row>
    <row r="233" spans="1:15" x14ac:dyDescent="0.3">
      <c r="A233" t="s">
        <v>344</v>
      </c>
      <c r="B233" t="s">
        <v>33</v>
      </c>
      <c r="C233" s="3">
        <v>45515</v>
      </c>
      <c r="D233" t="s">
        <v>35</v>
      </c>
      <c r="E233" t="s">
        <v>36</v>
      </c>
      <c r="F233">
        <v>1762</v>
      </c>
      <c r="G233">
        <v>405</v>
      </c>
      <c r="H233">
        <v>423</v>
      </c>
      <c r="I233">
        <v>22906</v>
      </c>
      <c r="J233">
        <v>21925</v>
      </c>
      <c r="K233">
        <v>25</v>
      </c>
      <c r="L233" t="s">
        <v>30</v>
      </c>
      <c r="M233" t="s">
        <v>19</v>
      </c>
      <c r="N233" s="4">
        <f t="shared" si="3"/>
        <v>51.006286562472717</v>
      </c>
      <c r="O233" s="10">
        <f>SUM(Posts_2[[#This Row],[Likes]:[Comments]])</f>
        <v>2590</v>
      </c>
    </row>
    <row r="234" spans="1:15" x14ac:dyDescent="0.3">
      <c r="A234" t="s">
        <v>559</v>
      </c>
      <c r="B234" t="s">
        <v>14</v>
      </c>
      <c r="C234" s="3">
        <v>45783</v>
      </c>
      <c r="D234" t="s">
        <v>52</v>
      </c>
      <c r="E234" t="s">
        <v>132</v>
      </c>
      <c r="F234">
        <v>1952</v>
      </c>
      <c r="G234">
        <v>344</v>
      </c>
      <c r="H234">
        <v>287</v>
      </c>
      <c r="I234">
        <v>15616</v>
      </c>
      <c r="J234">
        <v>15403</v>
      </c>
      <c r="K234">
        <v>235</v>
      </c>
      <c r="L234" t="s">
        <v>62</v>
      </c>
      <c r="M234" t="s">
        <v>25</v>
      </c>
      <c r="N234" s="4">
        <f t="shared" si="3"/>
        <v>74.817494877049185</v>
      </c>
      <c r="O234" s="10">
        <f>SUM(Posts_2[[#This Row],[Likes]:[Comments]])</f>
        <v>2583</v>
      </c>
    </row>
    <row r="235" spans="1:15" x14ac:dyDescent="0.3">
      <c r="A235" t="s">
        <v>559</v>
      </c>
      <c r="B235" t="s">
        <v>14</v>
      </c>
      <c r="C235" s="3">
        <v>45783</v>
      </c>
      <c r="D235" t="s">
        <v>52</v>
      </c>
      <c r="E235" t="s">
        <v>132</v>
      </c>
      <c r="F235">
        <v>1952</v>
      </c>
      <c r="G235">
        <v>344</v>
      </c>
      <c r="H235">
        <v>287</v>
      </c>
      <c r="I235">
        <v>15616</v>
      </c>
      <c r="J235">
        <v>15403</v>
      </c>
      <c r="K235">
        <v>235</v>
      </c>
      <c r="L235" t="s">
        <v>30</v>
      </c>
      <c r="M235" t="s">
        <v>25</v>
      </c>
      <c r="N235" s="4">
        <f t="shared" si="3"/>
        <v>74.817494877049185</v>
      </c>
      <c r="O235" s="10">
        <f>SUM(Posts_2[[#This Row],[Likes]:[Comments]])</f>
        <v>2583</v>
      </c>
    </row>
    <row r="236" spans="1:15" x14ac:dyDescent="0.3">
      <c r="A236" t="s">
        <v>559</v>
      </c>
      <c r="B236" t="s">
        <v>14</v>
      </c>
      <c r="C236" s="3">
        <v>45783</v>
      </c>
      <c r="D236" t="s">
        <v>52</v>
      </c>
      <c r="E236" t="s">
        <v>132</v>
      </c>
      <c r="F236">
        <v>1952</v>
      </c>
      <c r="G236">
        <v>344</v>
      </c>
      <c r="H236">
        <v>287</v>
      </c>
      <c r="I236">
        <v>15616</v>
      </c>
      <c r="J236">
        <v>15403</v>
      </c>
      <c r="K236">
        <v>235</v>
      </c>
      <c r="L236" t="s">
        <v>612</v>
      </c>
      <c r="M236" t="s">
        <v>25</v>
      </c>
      <c r="N236" s="4">
        <f t="shared" si="3"/>
        <v>74.817494877049185</v>
      </c>
      <c r="O236" s="10">
        <f>SUM(Posts_2[[#This Row],[Likes]:[Comments]])</f>
        <v>2583</v>
      </c>
    </row>
    <row r="237" spans="1:15" x14ac:dyDescent="0.3">
      <c r="A237" t="s">
        <v>489</v>
      </c>
      <c r="B237" t="s">
        <v>33</v>
      </c>
      <c r="C237" s="3">
        <v>45743</v>
      </c>
      <c r="D237" t="s">
        <v>45</v>
      </c>
      <c r="E237" t="s">
        <v>88</v>
      </c>
      <c r="F237">
        <v>1377</v>
      </c>
      <c r="G237">
        <v>796</v>
      </c>
      <c r="H237">
        <v>387</v>
      </c>
      <c r="I237">
        <v>22032</v>
      </c>
      <c r="J237">
        <v>21869</v>
      </c>
      <c r="K237">
        <v>189</v>
      </c>
      <c r="L237" t="s">
        <v>62</v>
      </c>
      <c r="M237" t="s">
        <v>620</v>
      </c>
      <c r="N237" s="4">
        <f t="shared" si="3"/>
        <v>53.029684095860567</v>
      </c>
      <c r="O237" s="10">
        <f>SUM(Posts_2[[#This Row],[Likes]:[Comments]])</f>
        <v>2560</v>
      </c>
    </row>
    <row r="238" spans="1:15" x14ac:dyDescent="0.3">
      <c r="A238" t="s">
        <v>405</v>
      </c>
      <c r="B238" t="s">
        <v>33</v>
      </c>
      <c r="C238" s="3">
        <v>45645</v>
      </c>
      <c r="D238" t="s">
        <v>22</v>
      </c>
      <c r="E238" t="s">
        <v>113</v>
      </c>
      <c r="F238">
        <v>1813</v>
      </c>
      <c r="G238">
        <v>623</v>
      </c>
      <c r="H238">
        <v>72</v>
      </c>
      <c r="I238">
        <v>19943</v>
      </c>
      <c r="J238">
        <v>18959</v>
      </c>
      <c r="K238">
        <v>85</v>
      </c>
      <c r="L238" t="s">
        <v>37</v>
      </c>
      <c r="M238" t="s">
        <v>31</v>
      </c>
      <c r="N238" s="4">
        <f t="shared" si="3"/>
        <v>58.584465727322872</v>
      </c>
      <c r="O238" s="10">
        <f>SUM(Posts_2[[#This Row],[Likes]:[Comments]])</f>
        <v>2508</v>
      </c>
    </row>
    <row r="239" spans="1:15" x14ac:dyDescent="0.3">
      <c r="A239" t="s">
        <v>183</v>
      </c>
      <c r="B239" t="s">
        <v>33</v>
      </c>
      <c r="C239" s="3">
        <v>45744</v>
      </c>
      <c r="D239" t="s">
        <v>35</v>
      </c>
      <c r="E239" t="s">
        <v>36</v>
      </c>
      <c r="F239">
        <v>1881</v>
      </c>
      <c r="G239">
        <v>501</v>
      </c>
      <c r="H239">
        <v>99</v>
      </c>
      <c r="I239">
        <v>20691</v>
      </c>
      <c r="J239">
        <v>19987</v>
      </c>
      <c r="K239">
        <v>289</v>
      </c>
      <c r="L239" t="s">
        <v>37</v>
      </c>
      <c r="M239" t="s">
        <v>620</v>
      </c>
      <c r="N239" s="4">
        <f t="shared" si="3"/>
        <v>56.466579672321302</v>
      </c>
      <c r="O239" s="10">
        <f>SUM(Posts_2[[#This Row],[Likes]:[Comments]])</f>
        <v>2481</v>
      </c>
    </row>
    <row r="240" spans="1:15" x14ac:dyDescent="0.3">
      <c r="A240" t="s">
        <v>93</v>
      </c>
      <c r="B240" t="s">
        <v>43</v>
      </c>
      <c r="C240" s="3">
        <v>45602</v>
      </c>
      <c r="D240" t="s">
        <v>74</v>
      </c>
      <c r="E240" t="s">
        <v>75</v>
      </c>
      <c r="F240">
        <v>1606</v>
      </c>
      <c r="G240">
        <v>547</v>
      </c>
      <c r="H240">
        <v>316</v>
      </c>
      <c r="I240">
        <v>32120</v>
      </c>
      <c r="J240">
        <v>31736</v>
      </c>
      <c r="K240">
        <v>225</v>
      </c>
      <c r="L240" t="s">
        <v>30</v>
      </c>
      <c r="M240" t="s">
        <v>25</v>
      </c>
      <c r="N240" s="4">
        <f t="shared" si="3"/>
        <v>36.374533001245332</v>
      </c>
      <c r="O240" s="10">
        <f>SUM(Posts_2[[#This Row],[Likes]:[Comments]])</f>
        <v>2469</v>
      </c>
    </row>
    <row r="241" spans="1:15" x14ac:dyDescent="0.3">
      <c r="A241" t="s">
        <v>93</v>
      </c>
      <c r="B241" t="s">
        <v>43</v>
      </c>
      <c r="C241" s="3">
        <v>45602</v>
      </c>
      <c r="D241" t="s">
        <v>74</v>
      </c>
      <c r="E241" t="s">
        <v>75</v>
      </c>
      <c r="F241">
        <v>1606</v>
      </c>
      <c r="G241">
        <v>547</v>
      </c>
      <c r="H241">
        <v>316</v>
      </c>
      <c r="I241">
        <v>32120</v>
      </c>
      <c r="J241">
        <v>31736</v>
      </c>
      <c r="K241">
        <v>225</v>
      </c>
      <c r="L241" t="s">
        <v>612</v>
      </c>
      <c r="M241" t="s">
        <v>25</v>
      </c>
      <c r="N241" s="4">
        <f t="shared" si="3"/>
        <v>36.374533001245332</v>
      </c>
      <c r="O241" s="10">
        <f>SUM(Posts_2[[#This Row],[Likes]:[Comments]])</f>
        <v>2469</v>
      </c>
    </row>
    <row r="242" spans="1:15" x14ac:dyDescent="0.3">
      <c r="A242" t="s">
        <v>281</v>
      </c>
      <c r="B242" t="s">
        <v>14</v>
      </c>
      <c r="C242" s="3">
        <v>45600</v>
      </c>
      <c r="D242" t="s">
        <v>52</v>
      </c>
      <c r="E242" t="s">
        <v>132</v>
      </c>
      <c r="F242">
        <v>1606</v>
      </c>
      <c r="G242">
        <v>451</v>
      </c>
      <c r="H242">
        <v>405</v>
      </c>
      <c r="I242">
        <v>20878</v>
      </c>
      <c r="J242">
        <v>20190</v>
      </c>
      <c r="K242">
        <v>219</v>
      </c>
      <c r="L242" t="s">
        <v>37</v>
      </c>
      <c r="M242" t="s">
        <v>38</v>
      </c>
      <c r="N242" s="4">
        <f t="shared" si="3"/>
        <v>55.960820001915891</v>
      </c>
      <c r="O242" s="10">
        <f>SUM(Posts_2[[#This Row],[Likes]:[Comments]])</f>
        <v>2462</v>
      </c>
    </row>
    <row r="243" spans="1:15" x14ac:dyDescent="0.3">
      <c r="A243" t="s">
        <v>415</v>
      </c>
      <c r="B243" t="s">
        <v>43</v>
      </c>
      <c r="C243" s="3">
        <v>45445</v>
      </c>
      <c r="D243" t="s">
        <v>52</v>
      </c>
      <c r="E243" t="s">
        <v>59</v>
      </c>
      <c r="F243">
        <v>1871</v>
      </c>
      <c r="G243">
        <v>252</v>
      </c>
      <c r="H243">
        <v>335</v>
      </c>
      <c r="I243">
        <v>29936</v>
      </c>
      <c r="J243">
        <v>29576</v>
      </c>
      <c r="K243">
        <v>288</v>
      </c>
      <c r="L243" t="s">
        <v>37</v>
      </c>
      <c r="M243" t="s">
        <v>31</v>
      </c>
      <c r="N243" s="4">
        <f t="shared" si="3"/>
        <v>39.028260288615712</v>
      </c>
      <c r="O243" s="10">
        <f>SUM(Posts_2[[#This Row],[Likes]:[Comments]])</f>
        <v>2458</v>
      </c>
    </row>
    <row r="244" spans="1:15" x14ac:dyDescent="0.3">
      <c r="A244" t="s">
        <v>191</v>
      </c>
      <c r="B244" t="s">
        <v>14</v>
      </c>
      <c r="C244" s="3">
        <v>45724</v>
      </c>
      <c r="D244" t="s">
        <v>22</v>
      </c>
      <c r="E244" t="s">
        <v>23</v>
      </c>
      <c r="F244">
        <v>1292</v>
      </c>
      <c r="G244">
        <v>626</v>
      </c>
      <c r="H244">
        <v>496</v>
      </c>
      <c r="I244">
        <v>25840</v>
      </c>
      <c r="J244">
        <v>24916</v>
      </c>
      <c r="K244">
        <v>149</v>
      </c>
      <c r="L244" t="s">
        <v>62</v>
      </c>
      <c r="M244" t="s">
        <v>31</v>
      </c>
      <c r="N244" s="4">
        <f t="shared" si="3"/>
        <v>45.214783281733745</v>
      </c>
      <c r="O244" s="10">
        <f>SUM(Posts_2[[#This Row],[Likes]:[Comments]])</f>
        <v>2414</v>
      </c>
    </row>
    <row r="245" spans="1:15" x14ac:dyDescent="0.3">
      <c r="A245" t="s">
        <v>236</v>
      </c>
      <c r="B245" t="s">
        <v>33</v>
      </c>
      <c r="C245" s="3">
        <v>45637</v>
      </c>
      <c r="D245" t="s">
        <v>74</v>
      </c>
      <c r="E245" t="s">
        <v>85</v>
      </c>
      <c r="F245">
        <v>1431</v>
      </c>
      <c r="G245">
        <v>951</v>
      </c>
      <c r="H245">
        <v>26</v>
      </c>
      <c r="I245">
        <v>8586</v>
      </c>
      <c r="J245">
        <v>8396</v>
      </c>
      <c r="K245">
        <v>150</v>
      </c>
      <c r="L245" t="s">
        <v>37</v>
      </c>
      <c r="M245" t="s">
        <v>31</v>
      </c>
      <c r="N245" s="4">
        <f t="shared" si="3"/>
        <v>136.07617051013278</v>
      </c>
      <c r="O245" s="10">
        <f>SUM(Posts_2[[#This Row],[Likes]:[Comments]])</f>
        <v>2408</v>
      </c>
    </row>
    <row r="246" spans="1:15" x14ac:dyDescent="0.3">
      <c r="A246" t="s">
        <v>102</v>
      </c>
      <c r="B246" t="s">
        <v>27</v>
      </c>
      <c r="C246" s="3">
        <v>45552</v>
      </c>
      <c r="D246" t="s">
        <v>22</v>
      </c>
      <c r="E246" t="s">
        <v>104</v>
      </c>
      <c r="F246">
        <v>2076</v>
      </c>
      <c r="G246">
        <v>195</v>
      </c>
      <c r="H246">
        <v>104</v>
      </c>
      <c r="I246">
        <v>33216</v>
      </c>
      <c r="J246">
        <v>32244</v>
      </c>
      <c r="K246">
        <v>51</v>
      </c>
      <c r="L246" t="s">
        <v>62</v>
      </c>
      <c r="M246" t="s">
        <v>38</v>
      </c>
      <c r="N246" s="4">
        <f t="shared" si="3"/>
        <v>35.174313583815028</v>
      </c>
      <c r="O246" s="10">
        <f>SUM(Posts_2[[#This Row],[Likes]:[Comments]])</f>
        <v>2375</v>
      </c>
    </row>
    <row r="247" spans="1:15" x14ac:dyDescent="0.3">
      <c r="A247" t="s">
        <v>429</v>
      </c>
      <c r="B247" t="s">
        <v>14</v>
      </c>
      <c r="C247" s="3">
        <v>45491</v>
      </c>
      <c r="D247" t="s">
        <v>45</v>
      </c>
      <c r="E247" t="s">
        <v>49</v>
      </c>
      <c r="F247">
        <v>2120</v>
      </c>
      <c r="G247">
        <v>38</v>
      </c>
      <c r="H247">
        <v>212</v>
      </c>
      <c r="I247">
        <v>12720</v>
      </c>
      <c r="J247">
        <v>12564</v>
      </c>
      <c r="K247">
        <v>21</v>
      </c>
      <c r="L247" t="s">
        <v>62</v>
      </c>
      <c r="M247" t="s">
        <v>38</v>
      </c>
      <c r="N247" s="4">
        <f t="shared" si="3"/>
        <v>91.851415094339629</v>
      </c>
      <c r="O247" s="10">
        <f>SUM(Posts_2[[#This Row],[Likes]:[Comments]])</f>
        <v>2370</v>
      </c>
    </row>
    <row r="248" spans="1:15" x14ac:dyDescent="0.3">
      <c r="A248" t="s">
        <v>497</v>
      </c>
      <c r="B248" t="s">
        <v>27</v>
      </c>
      <c r="C248" s="3">
        <v>45553</v>
      </c>
      <c r="D248" t="s">
        <v>45</v>
      </c>
      <c r="E248" t="s">
        <v>68</v>
      </c>
      <c r="F248">
        <v>2143</v>
      </c>
      <c r="G248">
        <v>12</v>
      </c>
      <c r="H248">
        <v>204</v>
      </c>
      <c r="I248">
        <v>40717</v>
      </c>
      <c r="J248">
        <v>40125</v>
      </c>
      <c r="K248">
        <v>248</v>
      </c>
      <c r="L248" t="s">
        <v>37</v>
      </c>
      <c r="M248" t="s">
        <v>25</v>
      </c>
      <c r="N248" s="4">
        <f t="shared" si="3"/>
        <v>28.694402829285064</v>
      </c>
      <c r="O248" s="10">
        <f>SUM(Posts_2[[#This Row],[Likes]:[Comments]])</f>
        <v>2359</v>
      </c>
    </row>
    <row r="249" spans="1:15" x14ac:dyDescent="0.3">
      <c r="A249" t="s">
        <v>391</v>
      </c>
      <c r="B249" t="s">
        <v>14</v>
      </c>
      <c r="C249" s="3">
        <v>45648</v>
      </c>
      <c r="D249" t="s">
        <v>16</v>
      </c>
      <c r="E249" t="s">
        <v>17</v>
      </c>
      <c r="F249">
        <v>1644</v>
      </c>
      <c r="G249">
        <v>546</v>
      </c>
      <c r="H249">
        <v>150</v>
      </c>
      <c r="I249">
        <v>27948</v>
      </c>
      <c r="J249">
        <v>27184</v>
      </c>
      <c r="K249">
        <v>300</v>
      </c>
      <c r="L249" t="s">
        <v>37</v>
      </c>
      <c r="M249" t="s">
        <v>31</v>
      </c>
      <c r="N249" s="4">
        <f t="shared" si="3"/>
        <v>41.804422498926577</v>
      </c>
      <c r="O249" s="10">
        <f>SUM(Posts_2[[#This Row],[Likes]:[Comments]])</f>
        <v>2340</v>
      </c>
    </row>
    <row r="250" spans="1:15" x14ac:dyDescent="0.3">
      <c r="A250" t="s">
        <v>369</v>
      </c>
      <c r="B250" t="s">
        <v>14</v>
      </c>
      <c r="C250" s="3">
        <v>45631</v>
      </c>
      <c r="D250" t="s">
        <v>74</v>
      </c>
      <c r="E250" t="s">
        <v>145</v>
      </c>
      <c r="F250">
        <v>1330</v>
      </c>
      <c r="G250">
        <v>925</v>
      </c>
      <c r="H250">
        <v>35</v>
      </c>
      <c r="I250">
        <v>15960</v>
      </c>
      <c r="J250">
        <v>15379</v>
      </c>
      <c r="K250">
        <v>229</v>
      </c>
      <c r="L250" t="s">
        <v>62</v>
      </c>
      <c r="M250" t="s">
        <v>31</v>
      </c>
      <c r="N250" s="4">
        <f t="shared" si="3"/>
        <v>73.204887218045116</v>
      </c>
      <c r="O250" s="10">
        <f>SUM(Posts_2[[#This Row],[Likes]:[Comments]])</f>
        <v>2290</v>
      </c>
    </row>
    <row r="251" spans="1:15" x14ac:dyDescent="0.3">
      <c r="A251" t="s">
        <v>248</v>
      </c>
      <c r="B251" t="s">
        <v>27</v>
      </c>
      <c r="C251" s="3">
        <v>45698</v>
      </c>
      <c r="D251" t="s">
        <v>74</v>
      </c>
      <c r="E251" t="s">
        <v>219</v>
      </c>
      <c r="F251">
        <v>1766</v>
      </c>
      <c r="G251">
        <v>92</v>
      </c>
      <c r="H251">
        <v>424</v>
      </c>
      <c r="I251">
        <v>24724</v>
      </c>
      <c r="J251">
        <v>24333</v>
      </c>
      <c r="K251">
        <v>52</v>
      </c>
      <c r="L251" t="s">
        <v>37</v>
      </c>
      <c r="M251" t="s">
        <v>620</v>
      </c>
      <c r="N251" s="4">
        <f t="shared" si="3"/>
        <v>47.255702960685973</v>
      </c>
      <c r="O251" s="10">
        <f>SUM(Posts_2[[#This Row],[Likes]:[Comments]])</f>
        <v>2282</v>
      </c>
    </row>
    <row r="252" spans="1:15" x14ac:dyDescent="0.3">
      <c r="A252" t="s">
        <v>200</v>
      </c>
      <c r="B252" t="s">
        <v>27</v>
      </c>
      <c r="C252" s="3">
        <v>45593</v>
      </c>
      <c r="D252" t="s">
        <v>16</v>
      </c>
      <c r="E252" t="s">
        <v>29</v>
      </c>
      <c r="F252">
        <v>1855</v>
      </c>
      <c r="G252">
        <v>200</v>
      </c>
      <c r="H252">
        <v>174</v>
      </c>
      <c r="I252">
        <v>16695</v>
      </c>
      <c r="J252">
        <v>16330</v>
      </c>
      <c r="K252">
        <v>123</v>
      </c>
      <c r="L252" t="s">
        <v>30</v>
      </c>
      <c r="M252" t="s">
        <v>31</v>
      </c>
      <c r="N252" s="4">
        <f t="shared" si="3"/>
        <v>69.98203054806828</v>
      </c>
      <c r="O252" s="10">
        <f>SUM(Posts_2[[#This Row],[Likes]:[Comments]])</f>
        <v>2229</v>
      </c>
    </row>
    <row r="253" spans="1:15" x14ac:dyDescent="0.3">
      <c r="A253" t="s">
        <v>450</v>
      </c>
      <c r="B253" t="s">
        <v>33</v>
      </c>
      <c r="C253" s="3">
        <v>45511</v>
      </c>
      <c r="D253" t="s">
        <v>45</v>
      </c>
      <c r="E253" t="s">
        <v>88</v>
      </c>
      <c r="F253">
        <v>1741</v>
      </c>
      <c r="G253">
        <v>164</v>
      </c>
      <c r="H253">
        <v>318</v>
      </c>
      <c r="I253">
        <v>8705</v>
      </c>
      <c r="J253">
        <v>8272</v>
      </c>
      <c r="K253">
        <v>121</v>
      </c>
      <c r="L253" t="s">
        <v>30</v>
      </c>
      <c r="M253" t="s">
        <v>620</v>
      </c>
      <c r="N253" s="4">
        <f t="shared" si="3"/>
        <v>134.21596783457784</v>
      </c>
      <c r="O253" s="10">
        <f>SUM(Posts_2[[#This Row],[Likes]:[Comments]])</f>
        <v>2223</v>
      </c>
    </row>
    <row r="254" spans="1:15" x14ac:dyDescent="0.3">
      <c r="A254" t="s">
        <v>337</v>
      </c>
      <c r="B254" t="s">
        <v>33</v>
      </c>
      <c r="C254" s="3">
        <v>45574</v>
      </c>
      <c r="D254" t="s">
        <v>45</v>
      </c>
      <c r="E254" t="s">
        <v>88</v>
      </c>
      <c r="F254">
        <v>985</v>
      </c>
      <c r="G254">
        <v>932</v>
      </c>
      <c r="H254">
        <v>287</v>
      </c>
      <c r="I254">
        <v>6895</v>
      </c>
      <c r="J254">
        <v>6757</v>
      </c>
      <c r="K254">
        <v>64</v>
      </c>
      <c r="L254" t="s">
        <v>62</v>
      </c>
      <c r="M254" t="s">
        <v>38</v>
      </c>
      <c r="N254" s="4">
        <f t="shared" si="3"/>
        <v>169.44887599709935</v>
      </c>
      <c r="O254" s="10">
        <f>SUM(Posts_2[[#This Row],[Likes]:[Comments]])</f>
        <v>2204</v>
      </c>
    </row>
    <row r="255" spans="1:15" x14ac:dyDescent="0.3">
      <c r="A255" t="s">
        <v>395</v>
      </c>
      <c r="B255" t="s">
        <v>27</v>
      </c>
      <c r="C255" s="3">
        <v>45569</v>
      </c>
      <c r="D255" t="s">
        <v>22</v>
      </c>
      <c r="E255" t="s">
        <v>104</v>
      </c>
      <c r="F255">
        <v>1963</v>
      </c>
      <c r="G255">
        <v>213</v>
      </c>
      <c r="H255">
        <v>19</v>
      </c>
      <c r="I255">
        <v>39260</v>
      </c>
      <c r="J255">
        <v>38771</v>
      </c>
      <c r="K255">
        <v>145</v>
      </c>
      <c r="L255" t="s">
        <v>62</v>
      </c>
      <c r="M255" t="s">
        <v>620</v>
      </c>
      <c r="N255" s="4">
        <f t="shared" si="3"/>
        <v>29.759296994396333</v>
      </c>
      <c r="O255" s="10">
        <f>SUM(Posts_2[[#This Row],[Likes]:[Comments]])</f>
        <v>2195</v>
      </c>
    </row>
    <row r="256" spans="1:15" x14ac:dyDescent="0.3">
      <c r="A256" t="s">
        <v>116</v>
      </c>
      <c r="B256" t="s">
        <v>43</v>
      </c>
      <c r="C256" s="3">
        <v>45525</v>
      </c>
      <c r="D256" t="s">
        <v>52</v>
      </c>
      <c r="E256" t="s">
        <v>59</v>
      </c>
      <c r="F256">
        <v>1407</v>
      </c>
      <c r="G256">
        <v>400</v>
      </c>
      <c r="H256">
        <v>351</v>
      </c>
      <c r="I256">
        <v>16884</v>
      </c>
      <c r="J256">
        <v>15954</v>
      </c>
      <c r="K256">
        <v>113</v>
      </c>
      <c r="L256" t="s">
        <v>30</v>
      </c>
      <c r="M256" t="s">
        <v>19</v>
      </c>
      <c r="N256" s="4">
        <f t="shared" si="3"/>
        <v>69.198649609097373</v>
      </c>
      <c r="O256" s="10">
        <f>SUM(Posts_2[[#This Row],[Likes]:[Comments]])</f>
        <v>2158</v>
      </c>
    </row>
    <row r="257" spans="1:15" x14ac:dyDescent="0.3">
      <c r="A257" t="s">
        <v>251</v>
      </c>
      <c r="B257" t="s">
        <v>14</v>
      </c>
      <c r="C257" s="3">
        <v>45553</v>
      </c>
      <c r="D257" t="s">
        <v>16</v>
      </c>
      <c r="E257" t="s">
        <v>17</v>
      </c>
      <c r="F257">
        <v>1000</v>
      </c>
      <c r="G257">
        <v>978</v>
      </c>
      <c r="H257">
        <v>162</v>
      </c>
      <c r="I257">
        <v>6000</v>
      </c>
      <c r="J257">
        <v>5221</v>
      </c>
      <c r="K257">
        <v>223</v>
      </c>
      <c r="L257" t="s">
        <v>37</v>
      </c>
      <c r="M257" t="s">
        <v>25</v>
      </c>
      <c r="N257" s="4">
        <f t="shared" si="3"/>
        <v>194.72499999999999</v>
      </c>
      <c r="O257" s="10">
        <f>SUM(Posts_2[[#This Row],[Likes]:[Comments]])</f>
        <v>2140</v>
      </c>
    </row>
    <row r="258" spans="1:15" x14ac:dyDescent="0.3">
      <c r="A258" t="s">
        <v>322</v>
      </c>
      <c r="B258" t="s">
        <v>33</v>
      </c>
      <c r="C258" s="3">
        <v>45516</v>
      </c>
      <c r="D258" t="s">
        <v>45</v>
      </c>
      <c r="E258" t="s">
        <v>88</v>
      </c>
      <c r="F258">
        <v>1878</v>
      </c>
      <c r="G258">
        <v>62</v>
      </c>
      <c r="H258">
        <v>179</v>
      </c>
      <c r="I258">
        <v>37560</v>
      </c>
      <c r="J258">
        <v>36874</v>
      </c>
      <c r="K258">
        <v>142</v>
      </c>
      <c r="L258" t="s">
        <v>30</v>
      </c>
      <c r="M258" t="s">
        <v>38</v>
      </c>
      <c r="N258" s="4">
        <f t="shared" ref="N258:N321" si="4">SUM(F:H)/I:I</f>
        <v>31.106230031948883</v>
      </c>
      <c r="O258" s="10">
        <f>SUM(Posts_2[[#This Row],[Likes]:[Comments]])</f>
        <v>2119</v>
      </c>
    </row>
    <row r="259" spans="1:15" x14ac:dyDescent="0.3">
      <c r="A259" t="s">
        <v>546</v>
      </c>
      <c r="B259" t="s">
        <v>33</v>
      </c>
      <c r="C259" s="3">
        <v>45519</v>
      </c>
      <c r="D259" t="s">
        <v>16</v>
      </c>
      <c r="E259" t="s">
        <v>82</v>
      </c>
      <c r="F259">
        <v>1164</v>
      </c>
      <c r="G259">
        <v>616</v>
      </c>
      <c r="H259">
        <v>324</v>
      </c>
      <c r="I259">
        <v>6984</v>
      </c>
      <c r="J259">
        <v>6636</v>
      </c>
      <c r="K259">
        <v>82</v>
      </c>
      <c r="L259" t="s">
        <v>37</v>
      </c>
      <c r="M259" t="s">
        <v>19</v>
      </c>
      <c r="N259" s="4">
        <f t="shared" si="4"/>
        <v>167.28951890034364</v>
      </c>
      <c r="O259" s="10">
        <f>SUM(Posts_2[[#This Row],[Likes]:[Comments]])</f>
        <v>2104</v>
      </c>
    </row>
    <row r="260" spans="1:15" x14ac:dyDescent="0.3">
      <c r="A260" t="s">
        <v>118</v>
      </c>
      <c r="B260" t="s">
        <v>43</v>
      </c>
      <c r="C260" s="3">
        <v>45742</v>
      </c>
      <c r="D260" t="s">
        <v>22</v>
      </c>
      <c r="E260" t="s">
        <v>56</v>
      </c>
      <c r="F260">
        <v>1652</v>
      </c>
      <c r="G260">
        <v>89</v>
      </c>
      <c r="H260">
        <v>357</v>
      </c>
      <c r="I260">
        <v>29736</v>
      </c>
      <c r="J260">
        <v>28771</v>
      </c>
      <c r="K260">
        <v>215</v>
      </c>
      <c r="L260" t="s">
        <v>30</v>
      </c>
      <c r="M260" t="s">
        <v>31</v>
      </c>
      <c r="N260" s="4">
        <f t="shared" si="4"/>
        <v>39.290758676351899</v>
      </c>
      <c r="O260" s="10">
        <f>SUM(Posts_2[[#This Row],[Likes]:[Comments]])</f>
        <v>2098</v>
      </c>
    </row>
    <row r="261" spans="1:15" x14ac:dyDescent="0.3">
      <c r="A261" t="s">
        <v>538</v>
      </c>
      <c r="B261" t="s">
        <v>33</v>
      </c>
      <c r="C261" s="3">
        <v>45568</v>
      </c>
      <c r="D261" t="s">
        <v>74</v>
      </c>
      <c r="E261" t="s">
        <v>85</v>
      </c>
      <c r="F261">
        <v>1488</v>
      </c>
      <c r="G261">
        <v>417</v>
      </c>
      <c r="H261">
        <v>168</v>
      </c>
      <c r="I261">
        <v>19344</v>
      </c>
      <c r="J261">
        <v>18395</v>
      </c>
      <c r="K261">
        <v>30</v>
      </c>
      <c r="L261" t="s">
        <v>62</v>
      </c>
      <c r="M261" t="s">
        <v>31</v>
      </c>
      <c r="N261" s="4">
        <f t="shared" si="4"/>
        <v>60.398573200992558</v>
      </c>
      <c r="O261" s="10">
        <f>SUM(Posts_2[[#This Row],[Likes]:[Comments]])</f>
        <v>2073</v>
      </c>
    </row>
    <row r="262" spans="1:15" x14ac:dyDescent="0.3">
      <c r="A262" t="s">
        <v>241</v>
      </c>
      <c r="B262" t="s">
        <v>14</v>
      </c>
      <c r="C262" s="3">
        <v>45545</v>
      </c>
      <c r="D262" t="s">
        <v>52</v>
      </c>
      <c r="E262" t="s">
        <v>132</v>
      </c>
      <c r="F262">
        <v>1238</v>
      </c>
      <c r="G262">
        <v>366</v>
      </c>
      <c r="H262">
        <v>444</v>
      </c>
      <c r="I262">
        <v>19808</v>
      </c>
      <c r="J262">
        <v>19334</v>
      </c>
      <c r="K262">
        <v>123</v>
      </c>
      <c r="L262" t="s">
        <v>62</v>
      </c>
      <c r="M262" t="s">
        <v>620</v>
      </c>
      <c r="N262" s="4">
        <f t="shared" si="4"/>
        <v>58.983743941841681</v>
      </c>
      <c r="O262" s="10">
        <f>SUM(Posts_2[[#This Row],[Likes]:[Comments]])</f>
        <v>2048</v>
      </c>
    </row>
    <row r="263" spans="1:15" x14ac:dyDescent="0.3">
      <c r="A263" t="s">
        <v>398</v>
      </c>
      <c r="B263" t="s">
        <v>33</v>
      </c>
      <c r="C263" s="3">
        <v>45625</v>
      </c>
      <c r="D263" t="s">
        <v>74</v>
      </c>
      <c r="E263" t="s">
        <v>85</v>
      </c>
      <c r="F263">
        <v>1176</v>
      </c>
      <c r="G263">
        <v>464</v>
      </c>
      <c r="H263">
        <v>394</v>
      </c>
      <c r="I263">
        <v>14112</v>
      </c>
      <c r="J263">
        <v>13588</v>
      </c>
      <c r="K263">
        <v>272</v>
      </c>
      <c r="L263" t="s">
        <v>37</v>
      </c>
      <c r="M263" t="s">
        <v>620</v>
      </c>
      <c r="N263" s="4">
        <f t="shared" si="4"/>
        <v>82.791241496598644</v>
      </c>
      <c r="O263" s="10">
        <f>SUM(Posts_2[[#This Row],[Likes]:[Comments]])</f>
        <v>2034</v>
      </c>
    </row>
    <row r="264" spans="1:15" x14ac:dyDescent="0.3">
      <c r="A264" t="s">
        <v>91</v>
      </c>
      <c r="B264" t="s">
        <v>43</v>
      </c>
      <c r="C264" s="3">
        <v>45715</v>
      </c>
      <c r="D264" t="s">
        <v>22</v>
      </c>
      <c r="E264" t="s">
        <v>56</v>
      </c>
      <c r="F264">
        <v>1570</v>
      </c>
      <c r="G264">
        <v>187</v>
      </c>
      <c r="H264">
        <v>260</v>
      </c>
      <c r="I264">
        <v>25120</v>
      </c>
      <c r="J264">
        <v>24613</v>
      </c>
      <c r="K264">
        <v>133</v>
      </c>
      <c r="L264" t="s">
        <v>30</v>
      </c>
      <c r="M264" t="s">
        <v>38</v>
      </c>
      <c r="N264" s="4">
        <f t="shared" si="4"/>
        <v>46.510748407643312</v>
      </c>
      <c r="O264" s="10">
        <f>SUM(Posts_2[[#This Row],[Likes]:[Comments]])</f>
        <v>2017</v>
      </c>
    </row>
    <row r="265" spans="1:15" x14ac:dyDescent="0.3">
      <c r="A265" t="s">
        <v>233</v>
      </c>
      <c r="B265" t="s">
        <v>43</v>
      </c>
      <c r="C265" s="3">
        <v>45740</v>
      </c>
      <c r="D265" t="s">
        <v>52</v>
      </c>
      <c r="E265" t="s">
        <v>59</v>
      </c>
      <c r="F265">
        <v>1263</v>
      </c>
      <c r="G265">
        <v>397</v>
      </c>
      <c r="H265">
        <v>357</v>
      </c>
      <c r="I265">
        <v>25260</v>
      </c>
      <c r="J265">
        <v>24615</v>
      </c>
      <c r="K265">
        <v>137</v>
      </c>
      <c r="L265" t="s">
        <v>37</v>
      </c>
      <c r="M265" t="s">
        <v>38</v>
      </c>
      <c r="N265" s="4">
        <f t="shared" si="4"/>
        <v>46.25296912114014</v>
      </c>
      <c r="O265" s="10">
        <f>SUM(Posts_2[[#This Row],[Likes]:[Comments]])</f>
        <v>2017</v>
      </c>
    </row>
    <row r="266" spans="1:15" x14ac:dyDescent="0.3">
      <c r="A266" t="s">
        <v>286</v>
      </c>
      <c r="B266" t="s">
        <v>43</v>
      </c>
      <c r="C266" s="3">
        <v>45586</v>
      </c>
      <c r="D266" t="s">
        <v>35</v>
      </c>
      <c r="E266" t="s">
        <v>71</v>
      </c>
      <c r="F266">
        <v>780</v>
      </c>
      <c r="G266">
        <v>928</v>
      </c>
      <c r="H266">
        <v>301</v>
      </c>
      <c r="I266">
        <v>8580</v>
      </c>
      <c r="J266">
        <v>8081</v>
      </c>
      <c r="K266">
        <v>91</v>
      </c>
      <c r="L266" t="s">
        <v>37</v>
      </c>
      <c r="M266" t="s">
        <v>31</v>
      </c>
      <c r="N266" s="4">
        <f t="shared" si="4"/>
        <v>136.17132867132867</v>
      </c>
      <c r="O266" s="10">
        <f>SUM(Posts_2[[#This Row],[Likes]:[Comments]])</f>
        <v>2009</v>
      </c>
    </row>
    <row r="267" spans="1:15" x14ac:dyDescent="0.3">
      <c r="A267" t="s">
        <v>13</v>
      </c>
      <c r="B267" t="s">
        <v>14</v>
      </c>
      <c r="C267" s="3">
        <v>45649</v>
      </c>
      <c r="D267" t="s">
        <v>16</v>
      </c>
      <c r="E267" t="s">
        <v>17</v>
      </c>
      <c r="F267">
        <v>1461</v>
      </c>
      <c r="G267">
        <v>184</v>
      </c>
      <c r="H267">
        <v>344</v>
      </c>
      <c r="I267">
        <v>21915</v>
      </c>
      <c r="J267">
        <v>21675</v>
      </c>
      <c r="K267">
        <v>15</v>
      </c>
      <c r="L267" t="s">
        <v>62</v>
      </c>
      <c r="M267" t="s">
        <v>19</v>
      </c>
      <c r="N267" s="4">
        <f t="shared" si="4"/>
        <v>53.312799452429843</v>
      </c>
      <c r="O267" s="10">
        <f>SUM(Posts_2[[#This Row],[Likes]:[Comments]])</f>
        <v>1989</v>
      </c>
    </row>
    <row r="268" spans="1:15" x14ac:dyDescent="0.3">
      <c r="A268" t="s">
        <v>13</v>
      </c>
      <c r="B268" t="s">
        <v>14</v>
      </c>
      <c r="C268" s="3">
        <v>45649</v>
      </c>
      <c r="D268" t="s">
        <v>16</v>
      </c>
      <c r="E268" t="s">
        <v>17</v>
      </c>
      <c r="F268">
        <v>1461</v>
      </c>
      <c r="G268">
        <v>184</v>
      </c>
      <c r="H268">
        <v>344</v>
      </c>
      <c r="I268">
        <v>21915</v>
      </c>
      <c r="J268">
        <v>21675</v>
      </c>
      <c r="K268">
        <v>15</v>
      </c>
      <c r="L268" t="s">
        <v>612</v>
      </c>
      <c r="M268" t="s">
        <v>19</v>
      </c>
      <c r="N268" s="4">
        <f t="shared" si="4"/>
        <v>53.312799452429843</v>
      </c>
      <c r="O268" s="10">
        <f>SUM(Posts_2[[#This Row],[Likes]:[Comments]])</f>
        <v>1989</v>
      </c>
    </row>
    <row r="269" spans="1:15" x14ac:dyDescent="0.3">
      <c r="A269" t="s">
        <v>173</v>
      </c>
      <c r="B269" t="s">
        <v>33</v>
      </c>
      <c r="C269" s="3">
        <v>45685</v>
      </c>
      <c r="D269" t="s">
        <v>74</v>
      </c>
      <c r="E269" t="s">
        <v>85</v>
      </c>
      <c r="F269">
        <v>904</v>
      </c>
      <c r="G269">
        <v>973</v>
      </c>
      <c r="H269">
        <v>63</v>
      </c>
      <c r="I269">
        <v>11752</v>
      </c>
      <c r="J269">
        <v>11580</v>
      </c>
      <c r="K269">
        <v>84</v>
      </c>
      <c r="L269" t="s">
        <v>37</v>
      </c>
      <c r="M269" t="s">
        <v>31</v>
      </c>
      <c r="N269" s="4">
        <f t="shared" si="4"/>
        <v>99.417120490129335</v>
      </c>
      <c r="O269" s="10">
        <f>SUM(Posts_2[[#This Row],[Likes]:[Comments]])</f>
        <v>1940</v>
      </c>
    </row>
    <row r="270" spans="1:15" x14ac:dyDescent="0.3">
      <c r="A270" t="s">
        <v>173</v>
      </c>
      <c r="B270" t="s">
        <v>33</v>
      </c>
      <c r="C270" s="3">
        <v>45685</v>
      </c>
      <c r="D270" t="s">
        <v>74</v>
      </c>
      <c r="E270" t="s">
        <v>85</v>
      </c>
      <c r="F270">
        <v>904</v>
      </c>
      <c r="G270">
        <v>973</v>
      </c>
      <c r="H270">
        <v>63</v>
      </c>
      <c r="I270">
        <v>11752</v>
      </c>
      <c r="J270">
        <v>11580</v>
      </c>
      <c r="K270">
        <v>84</v>
      </c>
      <c r="L270" t="s">
        <v>30</v>
      </c>
      <c r="M270" t="s">
        <v>31</v>
      </c>
      <c r="N270" s="4">
        <f t="shared" si="4"/>
        <v>99.417120490129335</v>
      </c>
      <c r="O270" s="10">
        <f>SUM(Posts_2[[#This Row],[Likes]:[Comments]])</f>
        <v>1940</v>
      </c>
    </row>
    <row r="271" spans="1:15" x14ac:dyDescent="0.3">
      <c r="A271" t="s">
        <v>173</v>
      </c>
      <c r="B271" t="s">
        <v>33</v>
      </c>
      <c r="C271" s="3">
        <v>45685</v>
      </c>
      <c r="D271" t="s">
        <v>74</v>
      </c>
      <c r="E271" t="s">
        <v>85</v>
      </c>
      <c r="F271">
        <v>904</v>
      </c>
      <c r="G271">
        <v>973</v>
      </c>
      <c r="H271">
        <v>63</v>
      </c>
      <c r="I271">
        <v>11752</v>
      </c>
      <c r="J271">
        <v>11580</v>
      </c>
      <c r="K271">
        <v>84</v>
      </c>
      <c r="L271" t="s">
        <v>612</v>
      </c>
      <c r="M271" t="s">
        <v>31</v>
      </c>
      <c r="N271" s="4">
        <f t="shared" si="4"/>
        <v>99.417120490129335</v>
      </c>
      <c r="O271" s="10">
        <f>SUM(Posts_2[[#This Row],[Likes]:[Comments]])</f>
        <v>1940</v>
      </c>
    </row>
    <row r="272" spans="1:15" x14ac:dyDescent="0.3">
      <c r="A272" t="s">
        <v>211</v>
      </c>
      <c r="B272" t="s">
        <v>33</v>
      </c>
      <c r="C272" s="3">
        <v>45584</v>
      </c>
      <c r="D272" t="s">
        <v>35</v>
      </c>
      <c r="E272" t="s">
        <v>36</v>
      </c>
      <c r="F272">
        <v>1816</v>
      </c>
      <c r="G272">
        <v>29</v>
      </c>
      <c r="H272">
        <v>41</v>
      </c>
      <c r="I272">
        <v>19976</v>
      </c>
      <c r="J272">
        <v>19262</v>
      </c>
      <c r="K272">
        <v>283</v>
      </c>
      <c r="L272" t="s">
        <v>30</v>
      </c>
      <c r="M272" t="s">
        <v>31</v>
      </c>
      <c r="N272" s="4">
        <f t="shared" si="4"/>
        <v>58.48768522226672</v>
      </c>
      <c r="O272" s="10">
        <f>SUM(Posts_2[[#This Row],[Likes]:[Comments]])</f>
        <v>1886</v>
      </c>
    </row>
    <row r="273" spans="1:15" x14ac:dyDescent="0.3">
      <c r="A273" t="s">
        <v>529</v>
      </c>
      <c r="B273" t="s">
        <v>14</v>
      </c>
      <c r="C273" s="3">
        <v>45450</v>
      </c>
      <c r="D273" t="s">
        <v>45</v>
      </c>
      <c r="E273" t="s">
        <v>49</v>
      </c>
      <c r="F273">
        <v>1556</v>
      </c>
      <c r="G273">
        <v>195</v>
      </c>
      <c r="H273">
        <v>131</v>
      </c>
      <c r="I273">
        <v>9336</v>
      </c>
      <c r="J273">
        <v>8875</v>
      </c>
      <c r="K273">
        <v>137</v>
      </c>
      <c r="L273" t="s">
        <v>30</v>
      </c>
      <c r="M273" t="s">
        <v>25</v>
      </c>
      <c r="N273" s="4">
        <f t="shared" si="4"/>
        <v>125.14460154241645</v>
      </c>
      <c r="O273" s="10">
        <f>SUM(Posts_2[[#This Row],[Likes]:[Comments]])</f>
        <v>1882</v>
      </c>
    </row>
    <row r="274" spans="1:15" x14ac:dyDescent="0.3">
      <c r="A274" t="s">
        <v>408</v>
      </c>
      <c r="B274" t="s">
        <v>14</v>
      </c>
      <c r="C274" s="3">
        <v>45549</v>
      </c>
      <c r="D274" t="s">
        <v>52</v>
      </c>
      <c r="E274" t="s">
        <v>132</v>
      </c>
      <c r="F274">
        <v>1048</v>
      </c>
      <c r="G274">
        <v>374</v>
      </c>
      <c r="H274">
        <v>450</v>
      </c>
      <c r="I274">
        <v>9432</v>
      </c>
      <c r="J274">
        <v>8882</v>
      </c>
      <c r="K274">
        <v>158</v>
      </c>
      <c r="L274" t="s">
        <v>30</v>
      </c>
      <c r="M274" t="s">
        <v>31</v>
      </c>
      <c r="N274" s="4">
        <f t="shared" si="4"/>
        <v>123.8708651399491</v>
      </c>
      <c r="O274" s="10">
        <f>SUM(Posts_2[[#This Row],[Likes]:[Comments]])</f>
        <v>1872</v>
      </c>
    </row>
    <row r="275" spans="1:15" x14ac:dyDescent="0.3">
      <c r="A275" t="s">
        <v>381</v>
      </c>
      <c r="B275" t="s">
        <v>27</v>
      </c>
      <c r="C275" s="3">
        <v>45737</v>
      </c>
      <c r="D275" t="s">
        <v>52</v>
      </c>
      <c r="E275" t="s">
        <v>53</v>
      </c>
      <c r="F275">
        <v>606</v>
      </c>
      <c r="G275">
        <v>789</v>
      </c>
      <c r="H275">
        <v>470</v>
      </c>
      <c r="I275">
        <v>7878</v>
      </c>
      <c r="J275">
        <v>7389</v>
      </c>
      <c r="K275">
        <v>239</v>
      </c>
      <c r="L275" t="s">
        <v>37</v>
      </c>
      <c r="M275" t="s">
        <v>31</v>
      </c>
      <c r="N275" s="4">
        <f t="shared" si="4"/>
        <v>148.30540746382331</v>
      </c>
      <c r="O275" s="10">
        <f>SUM(Posts_2[[#This Row],[Likes]:[Comments]])</f>
        <v>1865</v>
      </c>
    </row>
    <row r="276" spans="1:15" x14ac:dyDescent="0.3">
      <c r="A276" t="s">
        <v>458</v>
      </c>
      <c r="B276" t="s">
        <v>33</v>
      </c>
      <c r="C276" s="3">
        <v>45778</v>
      </c>
      <c r="D276" t="s">
        <v>22</v>
      </c>
      <c r="E276" t="s">
        <v>113</v>
      </c>
      <c r="F276">
        <v>1430</v>
      </c>
      <c r="G276">
        <v>376</v>
      </c>
      <c r="H276">
        <v>33</v>
      </c>
      <c r="I276">
        <v>21450</v>
      </c>
      <c r="J276">
        <v>20509</v>
      </c>
      <c r="K276">
        <v>251</v>
      </c>
      <c r="L276" t="s">
        <v>62</v>
      </c>
      <c r="M276" t="s">
        <v>19</v>
      </c>
      <c r="N276" s="4">
        <f t="shared" si="4"/>
        <v>54.468531468531467</v>
      </c>
      <c r="O276" s="10">
        <f>SUM(Posts_2[[#This Row],[Likes]:[Comments]])</f>
        <v>1839</v>
      </c>
    </row>
    <row r="277" spans="1:15" x14ac:dyDescent="0.3">
      <c r="A277" t="s">
        <v>462</v>
      </c>
      <c r="B277" t="s">
        <v>43</v>
      </c>
      <c r="C277" s="3">
        <v>45444</v>
      </c>
      <c r="D277" t="s">
        <v>22</v>
      </c>
      <c r="E277" t="s">
        <v>56</v>
      </c>
      <c r="F277">
        <v>1272</v>
      </c>
      <c r="G277">
        <v>465</v>
      </c>
      <c r="H277">
        <v>99</v>
      </c>
      <c r="I277">
        <v>24168</v>
      </c>
      <c r="J277">
        <v>23719</v>
      </c>
      <c r="K277">
        <v>42</v>
      </c>
      <c r="L277" t="s">
        <v>30</v>
      </c>
      <c r="M277" t="s">
        <v>620</v>
      </c>
      <c r="N277" s="4">
        <f t="shared" si="4"/>
        <v>48.342850049652434</v>
      </c>
      <c r="O277" s="10">
        <f>SUM(Posts_2[[#This Row],[Likes]:[Comments]])</f>
        <v>1836</v>
      </c>
    </row>
    <row r="278" spans="1:15" x14ac:dyDescent="0.3">
      <c r="A278" t="s">
        <v>440</v>
      </c>
      <c r="B278" t="s">
        <v>14</v>
      </c>
      <c r="C278" s="3">
        <v>45685</v>
      </c>
      <c r="D278" t="s">
        <v>16</v>
      </c>
      <c r="E278" t="s">
        <v>17</v>
      </c>
      <c r="F278">
        <v>1188</v>
      </c>
      <c r="G278">
        <v>470</v>
      </c>
      <c r="H278">
        <v>174</v>
      </c>
      <c r="I278">
        <v>7128</v>
      </c>
      <c r="J278">
        <v>6145</v>
      </c>
      <c r="K278">
        <v>270</v>
      </c>
      <c r="L278" t="s">
        <v>30</v>
      </c>
      <c r="M278" t="s">
        <v>38</v>
      </c>
      <c r="N278" s="4">
        <f t="shared" si="4"/>
        <v>163.90993265993265</v>
      </c>
      <c r="O278" s="10">
        <f>SUM(Posts_2[[#This Row],[Likes]:[Comments]])</f>
        <v>1832</v>
      </c>
    </row>
    <row r="279" spans="1:15" x14ac:dyDescent="0.3">
      <c r="A279" t="s">
        <v>365</v>
      </c>
      <c r="B279" t="s">
        <v>27</v>
      </c>
      <c r="C279" s="3">
        <v>45657</v>
      </c>
      <c r="D279" t="s">
        <v>74</v>
      </c>
      <c r="E279" t="s">
        <v>219</v>
      </c>
      <c r="F279">
        <v>1018</v>
      </c>
      <c r="G279">
        <v>447</v>
      </c>
      <c r="H279">
        <v>332</v>
      </c>
      <c r="I279">
        <v>18324</v>
      </c>
      <c r="J279">
        <v>18164</v>
      </c>
      <c r="K279">
        <v>38</v>
      </c>
      <c r="L279" t="s">
        <v>62</v>
      </c>
      <c r="M279" t="s">
        <v>25</v>
      </c>
      <c r="N279" s="4">
        <f t="shared" si="4"/>
        <v>63.760641781270465</v>
      </c>
      <c r="O279" s="10">
        <f>SUM(Posts_2[[#This Row],[Likes]:[Comments]])</f>
        <v>1797</v>
      </c>
    </row>
    <row r="280" spans="1:15" x14ac:dyDescent="0.3">
      <c r="A280" t="s">
        <v>206</v>
      </c>
      <c r="B280" t="s">
        <v>43</v>
      </c>
      <c r="C280" s="3">
        <v>45720</v>
      </c>
      <c r="D280" t="s">
        <v>35</v>
      </c>
      <c r="E280" t="s">
        <v>71</v>
      </c>
      <c r="F280">
        <v>1249</v>
      </c>
      <c r="G280">
        <v>116</v>
      </c>
      <c r="H280">
        <v>420</v>
      </c>
      <c r="I280">
        <v>8743</v>
      </c>
      <c r="J280">
        <v>8538</v>
      </c>
      <c r="K280">
        <v>63</v>
      </c>
      <c r="L280" t="s">
        <v>30</v>
      </c>
      <c r="M280" t="s">
        <v>620</v>
      </c>
      <c r="N280" s="4">
        <f t="shared" si="4"/>
        <v>133.63262038201989</v>
      </c>
      <c r="O280" s="10">
        <f>SUM(Posts_2[[#This Row],[Likes]:[Comments]])</f>
        <v>1785</v>
      </c>
    </row>
    <row r="281" spans="1:15" x14ac:dyDescent="0.3">
      <c r="A281" t="s">
        <v>347</v>
      </c>
      <c r="B281" t="s">
        <v>14</v>
      </c>
      <c r="C281" s="3">
        <v>45528</v>
      </c>
      <c r="D281" t="s">
        <v>74</v>
      </c>
      <c r="E281" t="s">
        <v>145</v>
      </c>
      <c r="F281">
        <v>1082</v>
      </c>
      <c r="G281">
        <v>209</v>
      </c>
      <c r="H281">
        <v>484</v>
      </c>
      <c r="I281">
        <v>19476</v>
      </c>
      <c r="J281">
        <v>18654</v>
      </c>
      <c r="K281">
        <v>20</v>
      </c>
      <c r="L281" t="s">
        <v>30</v>
      </c>
      <c r="M281" t="s">
        <v>620</v>
      </c>
      <c r="N281" s="4">
        <f t="shared" si="4"/>
        <v>59.989217498459645</v>
      </c>
      <c r="O281" s="10">
        <f>SUM(Posts_2[[#This Row],[Likes]:[Comments]])</f>
        <v>1775</v>
      </c>
    </row>
    <row r="282" spans="1:15" x14ac:dyDescent="0.3">
      <c r="A282" t="s">
        <v>437</v>
      </c>
      <c r="B282" t="s">
        <v>27</v>
      </c>
      <c r="C282" s="3">
        <v>45502</v>
      </c>
      <c r="D282" t="s">
        <v>35</v>
      </c>
      <c r="E282" t="s">
        <v>154</v>
      </c>
      <c r="F282">
        <v>1509</v>
      </c>
      <c r="G282">
        <v>88</v>
      </c>
      <c r="H282">
        <v>163</v>
      </c>
      <c r="I282">
        <v>30180</v>
      </c>
      <c r="J282">
        <v>29689</v>
      </c>
      <c r="K282">
        <v>119</v>
      </c>
      <c r="L282" t="s">
        <v>37</v>
      </c>
      <c r="M282" t="s">
        <v>25</v>
      </c>
      <c r="N282" s="4">
        <f t="shared" si="4"/>
        <v>38.712723658051686</v>
      </c>
      <c r="O282" s="10">
        <f>SUM(Posts_2[[#This Row],[Likes]:[Comments]])</f>
        <v>1760</v>
      </c>
    </row>
    <row r="283" spans="1:15" x14ac:dyDescent="0.3">
      <c r="A283" t="s">
        <v>290</v>
      </c>
      <c r="B283" t="s">
        <v>27</v>
      </c>
      <c r="C283" s="3">
        <v>45753</v>
      </c>
      <c r="D283" t="s">
        <v>45</v>
      </c>
      <c r="E283" t="s">
        <v>68</v>
      </c>
      <c r="F283">
        <v>736</v>
      </c>
      <c r="G283">
        <v>771</v>
      </c>
      <c r="H283">
        <v>225</v>
      </c>
      <c r="I283">
        <v>5152</v>
      </c>
      <c r="J283">
        <v>4706</v>
      </c>
      <c r="K283">
        <v>19</v>
      </c>
      <c r="L283" t="s">
        <v>37</v>
      </c>
      <c r="M283" t="s">
        <v>19</v>
      </c>
      <c r="N283" s="4">
        <f t="shared" si="4"/>
        <v>226.7760093167702</v>
      </c>
      <c r="O283" s="10">
        <f>SUM(Posts_2[[#This Row],[Likes]:[Comments]])</f>
        <v>1732</v>
      </c>
    </row>
    <row r="284" spans="1:15" x14ac:dyDescent="0.3">
      <c r="A284" t="s">
        <v>357</v>
      </c>
      <c r="B284" t="s">
        <v>14</v>
      </c>
      <c r="C284" s="3">
        <v>45704</v>
      </c>
      <c r="D284" t="s">
        <v>16</v>
      </c>
      <c r="E284" t="s">
        <v>17</v>
      </c>
      <c r="F284">
        <v>1076</v>
      </c>
      <c r="G284">
        <v>313</v>
      </c>
      <c r="H284">
        <v>306</v>
      </c>
      <c r="I284">
        <v>11836</v>
      </c>
      <c r="J284">
        <v>11596</v>
      </c>
      <c r="K284">
        <v>104</v>
      </c>
      <c r="L284" t="s">
        <v>62</v>
      </c>
      <c r="M284" t="s">
        <v>19</v>
      </c>
      <c r="N284" s="4">
        <f t="shared" si="4"/>
        <v>98.711557958769859</v>
      </c>
      <c r="O284" s="10">
        <f>SUM(Posts_2[[#This Row],[Likes]:[Comments]])</f>
        <v>1695</v>
      </c>
    </row>
    <row r="285" spans="1:15" x14ac:dyDescent="0.3">
      <c r="A285" t="s">
        <v>66</v>
      </c>
      <c r="B285" t="s">
        <v>27</v>
      </c>
      <c r="C285" s="3">
        <v>45614</v>
      </c>
      <c r="D285" t="s">
        <v>45</v>
      </c>
      <c r="E285" t="s">
        <v>68</v>
      </c>
      <c r="F285">
        <v>1171</v>
      </c>
      <c r="G285">
        <v>286</v>
      </c>
      <c r="H285">
        <v>231</v>
      </c>
      <c r="I285">
        <v>22249</v>
      </c>
      <c r="J285">
        <v>21282</v>
      </c>
      <c r="K285">
        <v>114</v>
      </c>
      <c r="L285" t="s">
        <v>37</v>
      </c>
      <c r="M285" t="s">
        <v>19</v>
      </c>
      <c r="N285" s="4">
        <f t="shared" si="4"/>
        <v>52.51247247067284</v>
      </c>
      <c r="O285" s="10">
        <f>SUM(Posts_2[[#This Row],[Likes]:[Comments]])</f>
        <v>1688</v>
      </c>
    </row>
    <row r="286" spans="1:15" x14ac:dyDescent="0.3">
      <c r="A286" t="s">
        <v>157</v>
      </c>
      <c r="B286" t="s">
        <v>43</v>
      </c>
      <c r="C286" s="3">
        <v>45660</v>
      </c>
      <c r="D286" t="s">
        <v>52</v>
      </c>
      <c r="E286" t="s">
        <v>59</v>
      </c>
      <c r="F286">
        <v>947</v>
      </c>
      <c r="G286">
        <v>338</v>
      </c>
      <c r="H286">
        <v>350</v>
      </c>
      <c r="I286">
        <v>10417</v>
      </c>
      <c r="J286">
        <v>9730</v>
      </c>
      <c r="K286">
        <v>34</v>
      </c>
      <c r="L286" t="s">
        <v>30</v>
      </c>
      <c r="M286" t="s">
        <v>38</v>
      </c>
      <c r="N286" s="4">
        <f t="shared" si="4"/>
        <v>112.1580109436498</v>
      </c>
      <c r="O286" s="10">
        <f>SUM(Posts_2[[#This Row],[Likes]:[Comments]])</f>
        <v>1635</v>
      </c>
    </row>
    <row r="287" spans="1:15" x14ac:dyDescent="0.3">
      <c r="A287" t="s">
        <v>465</v>
      </c>
      <c r="B287" t="s">
        <v>43</v>
      </c>
      <c r="C287" s="3">
        <v>45523</v>
      </c>
      <c r="D287" t="s">
        <v>22</v>
      </c>
      <c r="E287" t="s">
        <v>56</v>
      </c>
      <c r="F287">
        <v>1257</v>
      </c>
      <c r="G287">
        <v>19</v>
      </c>
      <c r="H287">
        <v>351</v>
      </c>
      <c r="I287">
        <v>12570</v>
      </c>
      <c r="J287">
        <v>11660</v>
      </c>
      <c r="K287">
        <v>194</v>
      </c>
      <c r="L287" t="s">
        <v>62</v>
      </c>
      <c r="M287" t="s">
        <v>25</v>
      </c>
      <c r="N287" s="4">
        <f t="shared" si="4"/>
        <v>92.947494033412895</v>
      </c>
      <c r="O287" s="10">
        <f>SUM(Posts_2[[#This Row],[Likes]:[Comments]])</f>
        <v>1627</v>
      </c>
    </row>
    <row r="288" spans="1:15" x14ac:dyDescent="0.3">
      <c r="A288" t="s">
        <v>465</v>
      </c>
      <c r="B288" t="s">
        <v>43</v>
      </c>
      <c r="C288" s="3">
        <v>45523</v>
      </c>
      <c r="D288" t="s">
        <v>22</v>
      </c>
      <c r="E288" t="s">
        <v>56</v>
      </c>
      <c r="F288">
        <v>1257</v>
      </c>
      <c r="G288">
        <v>19</v>
      </c>
      <c r="H288">
        <v>351</v>
      </c>
      <c r="I288">
        <v>12570</v>
      </c>
      <c r="J288">
        <v>11660</v>
      </c>
      <c r="K288">
        <v>194</v>
      </c>
      <c r="L288" t="s">
        <v>612</v>
      </c>
      <c r="M288" t="s">
        <v>25</v>
      </c>
      <c r="N288" s="4">
        <f t="shared" si="4"/>
        <v>92.947494033412895</v>
      </c>
      <c r="O288" s="10">
        <f>SUM(Posts_2[[#This Row],[Likes]:[Comments]])</f>
        <v>1627</v>
      </c>
    </row>
    <row r="289" spans="1:15" x14ac:dyDescent="0.3">
      <c r="A289" t="s">
        <v>465</v>
      </c>
      <c r="B289" t="s">
        <v>43</v>
      </c>
      <c r="C289" s="3">
        <v>45523</v>
      </c>
      <c r="D289" t="s">
        <v>22</v>
      </c>
      <c r="E289" t="s">
        <v>56</v>
      </c>
      <c r="F289">
        <v>1257</v>
      </c>
      <c r="G289">
        <v>19</v>
      </c>
      <c r="H289">
        <v>351</v>
      </c>
      <c r="I289">
        <v>12570</v>
      </c>
      <c r="J289">
        <v>11660</v>
      </c>
      <c r="K289">
        <v>194</v>
      </c>
      <c r="L289" t="s">
        <v>37</v>
      </c>
      <c r="M289" t="s">
        <v>25</v>
      </c>
      <c r="N289" s="4">
        <f t="shared" si="4"/>
        <v>92.947494033412895</v>
      </c>
      <c r="O289" s="10">
        <f>SUM(Posts_2[[#This Row],[Likes]:[Comments]])</f>
        <v>1627</v>
      </c>
    </row>
    <row r="290" spans="1:15" x14ac:dyDescent="0.3">
      <c r="A290" t="s">
        <v>403</v>
      </c>
      <c r="B290" t="s">
        <v>33</v>
      </c>
      <c r="C290" s="3">
        <v>45519</v>
      </c>
      <c r="D290" t="s">
        <v>45</v>
      </c>
      <c r="E290" t="s">
        <v>88</v>
      </c>
      <c r="F290">
        <v>914</v>
      </c>
      <c r="G290">
        <v>464</v>
      </c>
      <c r="H290">
        <v>246</v>
      </c>
      <c r="I290">
        <v>11882</v>
      </c>
      <c r="J290">
        <v>11500</v>
      </c>
      <c r="K290">
        <v>282</v>
      </c>
      <c r="L290" t="s">
        <v>62</v>
      </c>
      <c r="M290" t="s">
        <v>38</v>
      </c>
      <c r="N290" s="4">
        <f t="shared" si="4"/>
        <v>98.32940582393536</v>
      </c>
      <c r="O290" s="10">
        <f>SUM(Posts_2[[#This Row],[Likes]:[Comments]])</f>
        <v>1624</v>
      </c>
    </row>
    <row r="291" spans="1:15" x14ac:dyDescent="0.3">
      <c r="A291" t="s">
        <v>403</v>
      </c>
      <c r="B291" t="s">
        <v>33</v>
      </c>
      <c r="C291" s="3">
        <v>45519</v>
      </c>
      <c r="D291" t="s">
        <v>45</v>
      </c>
      <c r="E291" t="s">
        <v>88</v>
      </c>
      <c r="F291">
        <v>914</v>
      </c>
      <c r="G291">
        <v>464</v>
      </c>
      <c r="H291">
        <v>246</v>
      </c>
      <c r="I291">
        <v>11882</v>
      </c>
      <c r="J291">
        <v>11500</v>
      </c>
      <c r="K291">
        <v>282</v>
      </c>
      <c r="L291" t="s">
        <v>30</v>
      </c>
      <c r="M291" t="s">
        <v>38</v>
      </c>
      <c r="N291" s="4">
        <f t="shared" si="4"/>
        <v>98.32940582393536</v>
      </c>
      <c r="O291" s="10">
        <f>SUM(Posts_2[[#This Row],[Likes]:[Comments]])</f>
        <v>1624</v>
      </c>
    </row>
    <row r="292" spans="1:15" x14ac:dyDescent="0.3">
      <c r="A292" t="s">
        <v>403</v>
      </c>
      <c r="B292" t="s">
        <v>33</v>
      </c>
      <c r="C292" s="3">
        <v>45519</v>
      </c>
      <c r="D292" t="s">
        <v>45</v>
      </c>
      <c r="E292" t="s">
        <v>88</v>
      </c>
      <c r="F292">
        <v>914</v>
      </c>
      <c r="G292">
        <v>464</v>
      </c>
      <c r="H292">
        <v>246</v>
      </c>
      <c r="I292">
        <v>11882</v>
      </c>
      <c r="J292">
        <v>11500</v>
      </c>
      <c r="K292">
        <v>282</v>
      </c>
      <c r="L292" t="s">
        <v>612</v>
      </c>
      <c r="M292" t="s">
        <v>38</v>
      </c>
      <c r="N292" s="4">
        <f t="shared" si="4"/>
        <v>98.32940582393536</v>
      </c>
      <c r="O292" s="10">
        <f>SUM(Posts_2[[#This Row],[Likes]:[Comments]])</f>
        <v>1624</v>
      </c>
    </row>
    <row r="293" spans="1:15" x14ac:dyDescent="0.3">
      <c r="A293" t="s">
        <v>428</v>
      </c>
      <c r="B293" t="s">
        <v>27</v>
      </c>
      <c r="C293" s="3">
        <v>45707</v>
      </c>
      <c r="D293" t="s">
        <v>52</v>
      </c>
      <c r="E293" t="s">
        <v>53</v>
      </c>
      <c r="F293">
        <v>257</v>
      </c>
      <c r="G293">
        <v>966</v>
      </c>
      <c r="H293">
        <v>398</v>
      </c>
      <c r="I293">
        <v>3341</v>
      </c>
      <c r="J293">
        <v>2753</v>
      </c>
      <c r="K293">
        <v>287</v>
      </c>
      <c r="L293" t="s">
        <v>62</v>
      </c>
      <c r="M293" t="s">
        <v>19</v>
      </c>
      <c r="N293" s="4">
        <f t="shared" si="4"/>
        <v>349.7006884166417</v>
      </c>
      <c r="O293" s="10">
        <f>SUM(Posts_2[[#This Row],[Likes]:[Comments]])</f>
        <v>1621</v>
      </c>
    </row>
    <row r="294" spans="1:15" x14ac:dyDescent="0.3">
      <c r="A294" t="s">
        <v>83</v>
      </c>
      <c r="B294" t="s">
        <v>33</v>
      </c>
      <c r="C294" s="3">
        <v>45466</v>
      </c>
      <c r="D294" t="s">
        <v>74</v>
      </c>
      <c r="E294" t="s">
        <v>85</v>
      </c>
      <c r="F294">
        <v>1071</v>
      </c>
      <c r="G294">
        <v>519</v>
      </c>
      <c r="H294">
        <v>22</v>
      </c>
      <c r="I294">
        <v>16065</v>
      </c>
      <c r="J294">
        <v>15865</v>
      </c>
      <c r="K294">
        <v>103</v>
      </c>
      <c r="L294" t="s">
        <v>30</v>
      </c>
      <c r="M294" t="s">
        <v>38</v>
      </c>
      <c r="N294" s="4">
        <f t="shared" si="4"/>
        <v>72.726423902894496</v>
      </c>
      <c r="O294" s="10">
        <f>SUM(Posts_2[[#This Row],[Likes]:[Comments]])</f>
        <v>1612</v>
      </c>
    </row>
    <row r="295" spans="1:15" x14ac:dyDescent="0.3">
      <c r="A295" t="s">
        <v>287</v>
      </c>
      <c r="B295" t="s">
        <v>33</v>
      </c>
      <c r="C295" s="3">
        <v>45502</v>
      </c>
      <c r="D295" t="s">
        <v>35</v>
      </c>
      <c r="E295" t="s">
        <v>36</v>
      </c>
      <c r="F295">
        <v>498</v>
      </c>
      <c r="G295">
        <v>701</v>
      </c>
      <c r="H295">
        <v>412</v>
      </c>
      <c r="I295">
        <v>4980</v>
      </c>
      <c r="J295">
        <v>4185</v>
      </c>
      <c r="K295">
        <v>185</v>
      </c>
      <c r="L295" t="s">
        <v>62</v>
      </c>
      <c r="M295" t="s">
        <v>620</v>
      </c>
      <c r="N295" s="4">
        <f t="shared" si="4"/>
        <v>234.60843373493975</v>
      </c>
      <c r="O295" s="10">
        <f>SUM(Posts_2[[#This Row],[Likes]:[Comments]])</f>
        <v>1611</v>
      </c>
    </row>
    <row r="296" spans="1:15" x14ac:dyDescent="0.3">
      <c r="A296" t="s">
        <v>217</v>
      </c>
      <c r="B296" t="s">
        <v>27</v>
      </c>
      <c r="C296" s="3">
        <v>45580</v>
      </c>
      <c r="D296" t="s">
        <v>74</v>
      </c>
      <c r="E296" t="s">
        <v>219</v>
      </c>
      <c r="F296">
        <v>1094</v>
      </c>
      <c r="G296">
        <v>472</v>
      </c>
      <c r="H296">
        <v>21</v>
      </c>
      <c r="I296">
        <v>9846</v>
      </c>
      <c r="J296">
        <v>9609</v>
      </c>
      <c r="K296">
        <v>112</v>
      </c>
      <c r="L296" t="s">
        <v>37</v>
      </c>
      <c r="M296" t="s">
        <v>620</v>
      </c>
      <c r="N296" s="4">
        <f t="shared" si="4"/>
        <v>118.66240097501523</v>
      </c>
      <c r="O296" s="10">
        <f>SUM(Posts_2[[#This Row],[Likes]:[Comments]])</f>
        <v>1587</v>
      </c>
    </row>
    <row r="297" spans="1:15" x14ac:dyDescent="0.3">
      <c r="A297" t="s">
        <v>434</v>
      </c>
      <c r="B297" t="s">
        <v>33</v>
      </c>
      <c r="C297" s="3">
        <v>45649</v>
      </c>
      <c r="D297" t="s">
        <v>52</v>
      </c>
      <c r="E297" t="s">
        <v>215</v>
      </c>
      <c r="F297">
        <v>521</v>
      </c>
      <c r="G297">
        <v>746</v>
      </c>
      <c r="H297">
        <v>315</v>
      </c>
      <c r="I297">
        <v>4168</v>
      </c>
      <c r="J297">
        <v>3399</v>
      </c>
      <c r="K297">
        <v>282</v>
      </c>
      <c r="L297" t="s">
        <v>62</v>
      </c>
      <c r="M297" t="s">
        <v>25</v>
      </c>
      <c r="N297" s="4">
        <f t="shared" si="4"/>
        <v>280.31429942418424</v>
      </c>
      <c r="O297" s="10">
        <f>SUM(Posts_2[[#This Row],[Likes]:[Comments]])</f>
        <v>1582</v>
      </c>
    </row>
    <row r="298" spans="1:15" x14ac:dyDescent="0.3">
      <c r="A298" t="s">
        <v>207</v>
      </c>
      <c r="B298" t="s">
        <v>14</v>
      </c>
      <c r="C298" s="3">
        <v>45460</v>
      </c>
      <c r="D298" t="s">
        <v>52</v>
      </c>
      <c r="E298" t="s">
        <v>132</v>
      </c>
      <c r="F298">
        <v>954</v>
      </c>
      <c r="G298">
        <v>324</v>
      </c>
      <c r="H298">
        <v>288</v>
      </c>
      <c r="I298">
        <v>19080</v>
      </c>
      <c r="J298">
        <v>18859</v>
      </c>
      <c r="K298">
        <v>21</v>
      </c>
      <c r="L298" t="s">
        <v>62</v>
      </c>
      <c r="M298" t="s">
        <v>38</v>
      </c>
      <c r="N298" s="4">
        <f t="shared" si="4"/>
        <v>61.234276729559745</v>
      </c>
      <c r="O298" s="10">
        <f>SUM(Posts_2[[#This Row],[Likes]:[Comments]])</f>
        <v>1566</v>
      </c>
    </row>
    <row r="299" spans="1:15" x14ac:dyDescent="0.3">
      <c r="A299" t="s">
        <v>553</v>
      </c>
      <c r="B299" t="s">
        <v>43</v>
      </c>
      <c r="C299" s="3">
        <v>45613</v>
      </c>
      <c r="D299" t="s">
        <v>22</v>
      </c>
      <c r="E299" t="s">
        <v>56</v>
      </c>
      <c r="F299">
        <v>880</v>
      </c>
      <c r="G299">
        <v>297</v>
      </c>
      <c r="H299">
        <v>345</v>
      </c>
      <c r="I299">
        <v>12320</v>
      </c>
      <c r="J299">
        <v>11978</v>
      </c>
      <c r="K299">
        <v>238</v>
      </c>
      <c r="L299" t="s">
        <v>30</v>
      </c>
      <c r="M299" t="s">
        <v>620</v>
      </c>
      <c r="N299" s="4">
        <f t="shared" si="4"/>
        <v>94.833603896103895</v>
      </c>
      <c r="O299" s="10">
        <f>SUM(Posts_2[[#This Row],[Likes]:[Comments]])</f>
        <v>1522</v>
      </c>
    </row>
    <row r="300" spans="1:15" x14ac:dyDescent="0.3">
      <c r="A300" t="s">
        <v>553</v>
      </c>
      <c r="B300" t="s">
        <v>43</v>
      </c>
      <c r="C300" s="3">
        <v>45613</v>
      </c>
      <c r="D300" t="s">
        <v>22</v>
      </c>
      <c r="E300" t="s">
        <v>56</v>
      </c>
      <c r="F300">
        <v>880</v>
      </c>
      <c r="G300">
        <v>297</v>
      </c>
      <c r="H300">
        <v>345</v>
      </c>
      <c r="I300">
        <v>12320</v>
      </c>
      <c r="J300">
        <v>11978</v>
      </c>
      <c r="K300">
        <v>238</v>
      </c>
      <c r="L300" t="s">
        <v>612</v>
      </c>
      <c r="M300" t="s">
        <v>620</v>
      </c>
      <c r="N300" s="4">
        <f t="shared" si="4"/>
        <v>94.833603896103895</v>
      </c>
      <c r="O300" s="10">
        <f>SUM(Posts_2[[#This Row],[Likes]:[Comments]])</f>
        <v>1522</v>
      </c>
    </row>
    <row r="301" spans="1:15" x14ac:dyDescent="0.3">
      <c r="A301" t="s">
        <v>422</v>
      </c>
      <c r="B301" t="s">
        <v>14</v>
      </c>
      <c r="C301" s="3">
        <v>45467</v>
      </c>
      <c r="D301" t="s">
        <v>22</v>
      </c>
      <c r="E301" t="s">
        <v>23</v>
      </c>
      <c r="F301">
        <v>941</v>
      </c>
      <c r="G301">
        <v>121</v>
      </c>
      <c r="H301">
        <v>458</v>
      </c>
      <c r="I301">
        <v>14115</v>
      </c>
      <c r="J301">
        <v>13838</v>
      </c>
      <c r="K301">
        <v>87</v>
      </c>
      <c r="L301" t="s">
        <v>37</v>
      </c>
      <c r="M301" t="s">
        <v>19</v>
      </c>
      <c r="N301" s="4">
        <f t="shared" si="4"/>
        <v>82.773645058448466</v>
      </c>
      <c r="O301" s="10">
        <f>SUM(Posts_2[[#This Row],[Likes]:[Comments]])</f>
        <v>1520</v>
      </c>
    </row>
    <row r="302" spans="1:15" x14ac:dyDescent="0.3">
      <c r="A302" t="s">
        <v>481</v>
      </c>
      <c r="B302" t="s">
        <v>43</v>
      </c>
      <c r="C302" s="3">
        <v>45576</v>
      </c>
      <c r="D302" t="s">
        <v>52</v>
      </c>
      <c r="E302" t="s">
        <v>59</v>
      </c>
      <c r="F302">
        <v>400</v>
      </c>
      <c r="G302">
        <v>680</v>
      </c>
      <c r="H302">
        <v>434</v>
      </c>
      <c r="I302">
        <v>6400</v>
      </c>
      <c r="J302">
        <v>5472</v>
      </c>
      <c r="K302">
        <v>160</v>
      </c>
      <c r="L302" t="s">
        <v>62</v>
      </c>
      <c r="M302" t="s">
        <v>25</v>
      </c>
      <c r="N302" s="4">
        <f t="shared" si="4"/>
        <v>182.5546875</v>
      </c>
      <c r="O302" s="10">
        <f>SUM(Posts_2[[#This Row],[Likes]:[Comments]])</f>
        <v>1514</v>
      </c>
    </row>
    <row r="303" spans="1:15" x14ac:dyDescent="0.3">
      <c r="A303" t="s">
        <v>133</v>
      </c>
      <c r="B303" t="s">
        <v>33</v>
      </c>
      <c r="C303" s="3">
        <v>45724</v>
      </c>
      <c r="D303" t="s">
        <v>16</v>
      </c>
      <c r="E303" t="s">
        <v>82</v>
      </c>
      <c r="F303">
        <v>456</v>
      </c>
      <c r="G303">
        <v>629</v>
      </c>
      <c r="H303">
        <v>428</v>
      </c>
      <c r="I303">
        <v>8208</v>
      </c>
      <c r="J303">
        <v>7377</v>
      </c>
      <c r="K303">
        <v>205</v>
      </c>
      <c r="L303" t="s">
        <v>62</v>
      </c>
      <c r="M303" t="s">
        <v>38</v>
      </c>
      <c r="N303" s="4">
        <f t="shared" si="4"/>
        <v>142.34283625730995</v>
      </c>
      <c r="O303" s="10">
        <f>SUM(Posts_2[[#This Row],[Likes]:[Comments]])</f>
        <v>1513</v>
      </c>
    </row>
    <row r="304" spans="1:15" x14ac:dyDescent="0.3">
      <c r="A304" t="s">
        <v>143</v>
      </c>
      <c r="B304" t="s">
        <v>14</v>
      </c>
      <c r="C304" s="3">
        <v>45779</v>
      </c>
      <c r="D304" t="s">
        <v>74</v>
      </c>
      <c r="E304" t="s">
        <v>145</v>
      </c>
      <c r="F304">
        <v>1108</v>
      </c>
      <c r="G304">
        <v>177</v>
      </c>
      <c r="H304">
        <v>212</v>
      </c>
      <c r="I304">
        <v>8864</v>
      </c>
      <c r="J304">
        <v>8710</v>
      </c>
      <c r="K304">
        <v>97</v>
      </c>
      <c r="L304" t="s">
        <v>30</v>
      </c>
      <c r="M304" t="s">
        <v>38</v>
      </c>
      <c r="N304" s="4">
        <f t="shared" si="4"/>
        <v>131.80843862815885</v>
      </c>
      <c r="O304" s="10">
        <f>SUM(Posts_2[[#This Row],[Likes]:[Comments]])</f>
        <v>1497</v>
      </c>
    </row>
    <row r="305" spans="1:15" x14ac:dyDescent="0.3">
      <c r="A305" t="s">
        <v>159</v>
      </c>
      <c r="B305" t="s">
        <v>27</v>
      </c>
      <c r="C305" s="3">
        <v>45712</v>
      </c>
      <c r="D305" t="s">
        <v>45</v>
      </c>
      <c r="E305" t="s">
        <v>68</v>
      </c>
      <c r="F305">
        <v>804</v>
      </c>
      <c r="G305">
        <v>639</v>
      </c>
      <c r="H305">
        <v>43</v>
      </c>
      <c r="I305">
        <v>4020</v>
      </c>
      <c r="J305">
        <v>3144</v>
      </c>
      <c r="K305">
        <v>11</v>
      </c>
      <c r="L305" t="s">
        <v>37</v>
      </c>
      <c r="M305" t="s">
        <v>620</v>
      </c>
      <c r="N305" s="4">
        <f t="shared" si="4"/>
        <v>290.63432835820896</v>
      </c>
      <c r="O305" s="10">
        <f>SUM(Posts_2[[#This Row],[Likes]:[Comments]])</f>
        <v>1486</v>
      </c>
    </row>
    <row r="306" spans="1:15" x14ac:dyDescent="0.3">
      <c r="A306" t="s">
        <v>159</v>
      </c>
      <c r="B306" t="s">
        <v>27</v>
      </c>
      <c r="C306" s="3">
        <v>45712</v>
      </c>
      <c r="D306" t="s">
        <v>45</v>
      </c>
      <c r="E306" t="s">
        <v>68</v>
      </c>
      <c r="F306">
        <v>804</v>
      </c>
      <c r="G306">
        <v>639</v>
      </c>
      <c r="H306">
        <v>43</v>
      </c>
      <c r="I306">
        <v>4020</v>
      </c>
      <c r="J306">
        <v>3144</v>
      </c>
      <c r="K306">
        <v>11</v>
      </c>
      <c r="L306" t="s">
        <v>613</v>
      </c>
      <c r="M306" t="s">
        <v>620</v>
      </c>
      <c r="N306" s="4">
        <f t="shared" si="4"/>
        <v>290.63432835820896</v>
      </c>
      <c r="O306" s="10">
        <f>SUM(Posts_2[[#This Row],[Likes]:[Comments]])</f>
        <v>1486</v>
      </c>
    </row>
    <row r="307" spans="1:15" x14ac:dyDescent="0.3">
      <c r="A307" t="s">
        <v>508</v>
      </c>
      <c r="B307" t="s">
        <v>27</v>
      </c>
      <c r="C307" s="3">
        <v>45675</v>
      </c>
      <c r="D307" t="s">
        <v>52</v>
      </c>
      <c r="E307" t="s">
        <v>53</v>
      </c>
      <c r="F307">
        <v>1206</v>
      </c>
      <c r="G307">
        <v>238</v>
      </c>
      <c r="H307">
        <v>36</v>
      </c>
      <c r="I307">
        <v>9648</v>
      </c>
      <c r="J307">
        <v>9417</v>
      </c>
      <c r="K307">
        <v>237</v>
      </c>
      <c r="L307" t="s">
        <v>30</v>
      </c>
      <c r="M307" t="s">
        <v>620</v>
      </c>
      <c r="N307" s="4">
        <f t="shared" si="4"/>
        <v>121.0976368159204</v>
      </c>
      <c r="O307" s="10">
        <f>SUM(Posts_2[[#This Row],[Likes]:[Comments]])</f>
        <v>1480</v>
      </c>
    </row>
    <row r="308" spans="1:15" x14ac:dyDescent="0.3">
      <c r="A308" t="s">
        <v>471</v>
      </c>
      <c r="B308" t="s">
        <v>14</v>
      </c>
      <c r="C308" s="3">
        <v>45530</v>
      </c>
      <c r="D308" t="s">
        <v>45</v>
      </c>
      <c r="E308" t="s">
        <v>49</v>
      </c>
      <c r="F308">
        <v>929</v>
      </c>
      <c r="G308">
        <v>192</v>
      </c>
      <c r="H308">
        <v>322</v>
      </c>
      <c r="I308">
        <v>16722</v>
      </c>
      <c r="J308">
        <v>15996</v>
      </c>
      <c r="K308">
        <v>145</v>
      </c>
      <c r="L308" t="s">
        <v>37</v>
      </c>
      <c r="M308" t="s">
        <v>31</v>
      </c>
      <c r="N308" s="4">
        <f t="shared" si="4"/>
        <v>69.869034804449228</v>
      </c>
      <c r="O308" s="10">
        <f>SUM(Posts_2[[#This Row],[Likes]:[Comments]])</f>
        <v>1443</v>
      </c>
    </row>
    <row r="309" spans="1:15" x14ac:dyDescent="0.3">
      <c r="A309" t="s">
        <v>471</v>
      </c>
      <c r="B309" t="s">
        <v>14</v>
      </c>
      <c r="C309" s="3">
        <v>45530</v>
      </c>
      <c r="D309" t="s">
        <v>45</v>
      </c>
      <c r="E309" t="s">
        <v>49</v>
      </c>
      <c r="F309">
        <v>929</v>
      </c>
      <c r="G309">
        <v>192</v>
      </c>
      <c r="H309">
        <v>322</v>
      </c>
      <c r="I309">
        <v>16722</v>
      </c>
      <c r="J309">
        <v>15996</v>
      </c>
      <c r="K309">
        <v>145</v>
      </c>
      <c r="L309" t="s">
        <v>30</v>
      </c>
      <c r="M309" t="s">
        <v>31</v>
      </c>
      <c r="N309" s="4">
        <f t="shared" si="4"/>
        <v>69.869034804449228</v>
      </c>
      <c r="O309" s="10">
        <f>SUM(Posts_2[[#This Row],[Likes]:[Comments]])</f>
        <v>1443</v>
      </c>
    </row>
    <row r="310" spans="1:15" x14ac:dyDescent="0.3">
      <c r="A310" t="s">
        <v>471</v>
      </c>
      <c r="B310" t="s">
        <v>14</v>
      </c>
      <c r="C310" s="3">
        <v>45530</v>
      </c>
      <c r="D310" t="s">
        <v>45</v>
      </c>
      <c r="E310" t="s">
        <v>49</v>
      </c>
      <c r="F310">
        <v>929</v>
      </c>
      <c r="G310">
        <v>192</v>
      </c>
      <c r="H310">
        <v>322</v>
      </c>
      <c r="I310">
        <v>16722</v>
      </c>
      <c r="J310">
        <v>15996</v>
      </c>
      <c r="K310">
        <v>145</v>
      </c>
      <c r="L310" t="s">
        <v>612</v>
      </c>
      <c r="M310" t="s">
        <v>31</v>
      </c>
      <c r="N310" s="4">
        <f t="shared" si="4"/>
        <v>69.869034804449228</v>
      </c>
      <c r="O310" s="10">
        <f>SUM(Posts_2[[#This Row],[Likes]:[Comments]])</f>
        <v>1443</v>
      </c>
    </row>
    <row r="311" spans="1:15" x14ac:dyDescent="0.3">
      <c r="A311" t="s">
        <v>192</v>
      </c>
      <c r="B311" t="s">
        <v>43</v>
      </c>
      <c r="C311" s="3">
        <v>45749</v>
      </c>
      <c r="D311" t="s">
        <v>74</v>
      </c>
      <c r="E311" t="s">
        <v>75</v>
      </c>
      <c r="F311">
        <v>199</v>
      </c>
      <c r="G311">
        <v>772</v>
      </c>
      <c r="H311">
        <v>400</v>
      </c>
      <c r="I311">
        <v>3582</v>
      </c>
      <c r="J311">
        <v>2988</v>
      </c>
      <c r="K311">
        <v>43</v>
      </c>
      <c r="L311" t="s">
        <v>30</v>
      </c>
      <c r="M311" t="s">
        <v>620</v>
      </c>
      <c r="N311" s="4">
        <f t="shared" si="4"/>
        <v>326.17252931323281</v>
      </c>
      <c r="O311" s="10">
        <f>SUM(Posts_2[[#This Row],[Likes]:[Comments]])</f>
        <v>1371</v>
      </c>
    </row>
    <row r="312" spans="1:15" x14ac:dyDescent="0.3">
      <c r="A312" t="s">
        <v>163</v>
      </c>
      <c r="B312" t="s">
        <v>43</v>
      </c>
      <c r="C312" s="3">
        <v>45460</v>
      </c>
      <c r="D312" t="s">
        <v>52</v>
      </c>
      <c r="E312" t="s">
        <v>59</v>
      </c>
      <c r="F312">
        <v>1226</v>
      </c>
      <c r="G312">
        <v>119</v>
      </c>
      <c r="H312">
        <v>7</v>
      </c>
      <c r="I312">
        <v>14712</v>
      </c>
      <c r="J312">
        <v>14049</v>
      </c>
      <c r="K312">
        <v>123</v>
      </c>
      <c r="L312" t="s">
        <v>37</v>
      </c>
      <c r="M312" t="s">
        <v>38</v>
      </c>
      <c r="N312" s="4">
        <f t="shared" si="4"/>
        <v>79.41476345840131</v>
      </c>
      <c r="O312" s="10">
        <f>SUM(Posts_2[[#This Row],[Likes]:[Comments]])</f>
        <v>1352</v>
      </c>
    </row>
    <row r="313" spans="1:15" x14ac:dyDescent="0.3">
      <c r="A313" t="s">
        <v>447</v>
      </c>
      <c r="B313" t="s">
        <v>43</v>
      </c>
      <c r="C313" s="3">
        <v>45790</v>
      </c>
      <c r="D313" t="s">
        <v>52</v>
      </c>
      <c r="E313" t="s">
        <v>59</v>
      </c>
      <c r="F313">
        <v>602</v>
      </c>
      <c r="G313">
        <v>594</v>
      </c>
      <c r="H313">
        <v>156</v>
      </c>
      <c r="I313">
        <v>4214</v>
      </c>
      <c r="J313">
        <v>3363</v>
      </c>
      <c r="K313">
        <v>164</v>
      </c>
      <c r="L313" t="s">
        <v>30</v>
      </c>
      <c r="M313" t="s">
        <v>31</v>
      </c>
      <c r="N313" s="4">
        <f t="shared" si="4"/>
        <v>277.25439012814428</v>
      </c>
      <c r="O313" s="10">
        <f>SUM(Posts_2[[#This Row],[Likes]:[Comments]])</f>
        <v>1352</v>
      </c>
    </row>
    <row r="314" spans="1:15" x14ac:dyDescent="0.3">
      <c r="A314" t="s">
        <v>384</v>
      </c>
      <c r="B314" t="s">
        <v>33</v>
      </c>
      <c r="C314" s="3">
        <v>45643</v>
      </c>
      <c r="D314" t="s">
        <v>35</v>
      </c>
      <c r="E314" t="s">
        <v>36</v>
      </c>
      <c r="F314">
        <v>360</v>
      </c>
      <c r="G314">
        <v>590</v>
      </c>
      <c r="H314">
        <v>393</v>
      </c>
      <c r="I314">
        <v>4680</v>
      </c>
      <c r="J314">
        <v>4322</v>
      </c>
      <c r="K314">
        <v>208</v>
      </c>
      <c r="L314" t="s">
        <v>62</v>
      </c>
      <c r="M314" t="s">
        <v>25</v>
      </c>
      <c r="N314" s="4">
        <f t="shared" si="4"/>
        <v>249.64743589743588</v>
      </c>
      <c r="O314" s="10">
        <f>SUM(Posts_2[[#This Row],[Likes]:[Comments]])</f>
        <v>1343</v>
      </c>
    </row>
    <row r="315" spans="1:15" x14ac:dyDescent="0.3">
      <c r="A315" t="s">
        <v>413</v>
      </c>
      <c r="B315" t="s">
        <v>14</v>
      </c>
      <c r="C315" s="3">
        <v>45672</v>
      </c>
      <c r="D315" t="s">
        <v>16</v>
      </c>
      <c r="E315" t="s">
        <v>17</v>
      </c>
      <c r="F315">
        <v>802</v>
      </c>
      <c r="G315">
        <v>262</v>
      </c>
      <c r="H315">
        <v>244</v>
      </c>
      <c r="I315">
        <v>14436</v>
      </c>
      <c r="J315">
        <v>14280</v>
      </c>
      <c r="K315">
        <v>49</v>
      </c>
      <c r="L315" t="s">
        <v>37</v>
      </c>
      <c r="M315" t="s">
        <v>19</v>
      </c>
      <c r="N315" s="4">
        <f t="shared" si="4"/>
        <v>80.933083956774723</v>
      </c>
      <c r="O315" s="10">
        <f>SUM(Posts_2[[#This Row],[Likes]:[Comments]])</f>
        <v>1308</v>
      </c>
    </row>
    <row r="316" spans="1:15" x14ac:dyDescent="0.3">
      <c r="A316" t="s">
        <v>487</v>
      </c>
      <c r="B316" t="s">
        <v>14</v>
      </c>
      <c r="C316" s="3">
        <v>45491</v>
      </c>
      <c r="D316" t="s">
        <v>52</v>
      </c>
      <c r="E316" t="s">
        <v>132</v>
      </c>
      <c r="F316">
        <v>827</v>
      </c>
      <c r="G316">
        <v>77</v>
      </c>
      <c r="H316">
        <v>402</v>
      </c>
      <c r="I316">
        <v>14886</v>
      </c>
      <c r="J316">
        <v>14129</v>
      </c>
      <c r="K316">
        <v>254</v>
      </c>
      <c r="L316" t="s">
        <v>37</v>
      </c>
      <c r="M316" t="s">
        <v>25</v>
      </c>
      <c r="N316" s="4">
        <f t="shared" si="4"/>
        <v>78.486497380088679</v>
      </c>
      <c r="O316" s="10">
        <f>SUM(Posts_2[[#This Row],[Likes]:[Comments]])</f>
        <v>1306</v>
      </c>
    </row>
    <row r="317" spans="1:15" x14ac:dyDescent="0.3">
      <c r="A317" t="s">
        <v>204</v>
      </c>
      <c r="B317" t="s">
        <v>14</v>
      </c>
      <c r="C317" s="3">
        <v>45603</v>
      </c>
      <c r="D317" t="s">
        <v>35</v>
      </c>
      <c r="E317" t="s">
        <v>149</v>
      </c>
      <c r="F317">
        <v>1121</v>
      </c>
      <c r="G317">
        <v>135</v>
      </c>
      <c r="H317">
        <v>18</v>
      </c>
      <c r="I317">
        <v>15694</v>
      </c>
      <c r="J317">
        <v>14957</v>
      </c>
      <c r="K317">
        <v>99</v>
      </c>
      <c r="L317" t="s">
        <v>30</v>
      </c>
      <c r="M317" t="s">
        <v>38</v>
      </c>
      <c r="N317" s="4">
        <f t="shared" si="4"/>
        <v>74.445648018350965</v>
      </c>
      <c r="O317" s="10">
        <f>SUM(Posts_2[[#This Row],[Likes]:[Comments]])</f>
        <v>1274</v>
      </c>
    </row>
    <row r="318" spans="1:15" x14ac:dyDescent="0.3">
      <c r="A318" t="s">
        <v>213</v>
      </c>
      <c r="B318" t="s">
        <v>33</v>
      </c>
      <c r="C318" s="3">
        <v>45497</v>
      </c>
      <c r="D318" t="s">
        <v>52</v>
      </c>
      <c r="E318" t="s">
        <v>215</v>
      </c>
      <c r="F318">
        <v>725</v>
      </c>
      <c r="G318">
        <v>88</v>
      </c>
      <c r="H318">
        <v>428</v>
      </c>
      <c r="I318">
        <v>14500</v>
      </c>
      <c r="J318">
        <v>13637</v>
      </c>
      <c r="K318">
        <v>200</v>
      </c>
      <c r="L318" t="s">
        <v>62</v>
      </c>
      <c r="M318" t="s">
        <v>31</v>
      </c>
      <c r="N318" s="4">
        <f t="shared" si="4"/>
        <v>80.57586206896552</v>
      </c>
      <c r="O318" s="10">
        <f>SUM(Posts_2[[#This Row],[Likes]:[Comments]])</f>
        <v>1241</v>
      </c>
    </row>
    <row r="319" spans="1:15" x14ac:dyDescent="0.3">
      <c r="A319" t="s">
        <v>213</v>
      </c>
      <c r="B319" t="s">
        <v>33</v>
      </c>
      <c r="C319" s="3">
        <v>45497</v>
      </c>
      <c r="D319" t="s">
        <v>52</v>
      </c>
      <c r="E319" t="s">
        <v>215</v>
      </c>
      <c r="F319">
        <v>725</v>
      </c>
      <c r="G319">
        <v>88</v>
      </c>
      <c r="H319">
        <v>428</v>
      </c>
      <c r="I319">
        <v>14500</v>
      </c>
      <c r="J319">
        <v>13637</v>
      </c>
      <c r="K319">
        <v>200</v>
      </c>
      <c r="L319" t="s">
        <v>30</v>
      </c>
      <c r="M319" t="s">
        <v>31</v>
      </c>
      <c r="N319" s="4">
        <f t="shared" si="4"/>
        <v>80.57586206896552</v>
      </c>
      <c r="O319" s="10">
        <f>SUM(Posts_2[[#This Row],[Likes]:[Comments]])</f>
        <v>1241</v>
      </c>
    </row>
    <row r="320" spans="1:15" x14ac:dyDescent="0.3">
      <c r="A320" t="s">
        <v>213</v>
      </c>
      <c r="B320" t="s">
        <v>33</v>
      </c>
      <c r="C320" s="3">
        <v>45497</v>
      </c>
      <c r="D320" t="s">
        <v>52</v>
      </c>
      <c r="E320" t="s">
        <v>215</v>
      </c>
      <c r="F320">
        <v>725</v>
      </c>
      <c r="G320">
        <v>88</v>
      </c>
      <c r="H320">
        <v>428</v>
      </c>
      <c r="I320">
        <v>14500</v>
      </c>
      <c r="J320">
        <v>13637</v>
      </c>
      <c r="K320">
        <v>200</v>
      </c>
      <c r="L320" t="s">
        <v>612</v>
      </c>
      <c r="M320" t="s">
        <v>31</v>
      </c>
      <c r="N320" s="4">
        <f t="shared" si="4"/>
        <v>80.57586206896552</v>
      </c>
      <c r="O320" s="10">
        <f>SUM(Posts_2[[#This Row],[Likes]:[Comments]])</f>
        <v>1241</v>
      </c>
    </row>
    <row r="321" spans="1:15" x14ac:dyDescent="0.3">
      <c r="A321" t="s">
        <v>335</v>
      </c>
      <c r="B321" t="s">
        <v>14</v>
      </c>
      <c r="C321" s="3">
        <v>45658</v>
      </c>
      <c r="D321" t="s">
        <v>74</v>
      </c>
      <c r="E321" t="s">
        <v>145</v>
      </c>
      <c r="F321">
        <v>754</v>
      </c>
      <c r="G321">
        <v>197</v>
      </c>
      <c r="H321">
        <v>257</v>
      </c>
      <c r="I321">
        <v>6786</v>
      </c>
      <c r="J321">
        <v>6221</v>
      </c>
      <c r="K321">
        <v>212</v>
      </c>
      <c r="L321" t="s">
        <v>30</v>
      </c>
      <c r="M321" t="s">
        <v>31</v>
      </c>
      <c r="N321" s="4">
        <f t="shared" si="4"/>
        <v>172.17064544650751</v>
      </c>
      <c r="O321" s="10">
        <f>SUM(Posts_2[[#This Row],[Likes]:[Comments]])</f>
        <v>1208</v>
      </c>
    </row>
    <row r="322" spans="1:15" x14ac:dyDescent="0.3">
      <c r="A322" t="s">
        <v>105</v>
      </c>
      <c r="B322" t="s">
        <v>33</v>
      </c>
      <c r="C322" s="3">
        <v>45720</v>
      </c>
      <c r="D322" t="s">
        <v>74</v>
      </c>
      <c r="E322" t="s">
        <v>85</v>
      </c>
      <c r="F322">
        <v>432</v>
      </c>
      <c r="G322">
        <v>624</v>
      </c>
      <c r="H322">
        <v>123</v>
      </c>
      <c r="I322">
        <v>6912</v>
      </c>
      <c r="J322">
        <v>6259</v>
      </c>
      <c r="K322">
        <v>79</v>
      </c>
      <c r="L322" t="s">
        <v>62</v>
      </c>
      <c r="M322" t="s">
        <v>38</v>
      </c>
      <c r="N322" s="4">
        <f t="shared" ref="N322:N340" si="5">SUM(F:H)/I:I</f>
        <v>169.03211805555554</v>
      </c>
      <c r="O322" s="10">
        <f>SUM(Posts_2[[#This Row],[Likes]:[Comments]])</f>
        <v>1179</v>
      </c>
    </row>
    <row r="323" spans="1:15" x14ac:dyDescent="0.3">
      <c r="A323" t="s">
        <v>486</v>
      </c>
      <c r="B323" t="s">
        <v>43</v>
      </c>
      <c r="C323" s="3">
        <v>45690</v>
      </c>
      <c r="D323" t="s">
        <v>35</v>
      </c>
      <c r="E323" t="s">
        <v>71</v>
      </c>
      <c r="F323">
        <v>886</v>
      </c>
      <c r="G323">
        <v>126</v>
      </c>
      <c r="H323">
        <v>153</v>
      </c>
      <c r="I323">
        <v>4430</v>
      </c>
      <c r="J323">
        <v>4037</v>
      </c>
      <c r="K323">
        <v>212</v>
      </c>
      <c r="L323" t="s">
        <v>37</v>
      </c>
      <c r="M323" t="s">
        <v>620</v>
      </c>
      <c r="N323" s="4">
        <f t="shared" si="5"/>
        <v>263.73589164785551</v>
      </c>
      <c r="O323" s="10">
        <f>SUM(Posts_2[[#This Row],[Likes]:[Comments]])</f>
        <v>1165</v>
      </c>
    </row>
    <row r="324" spans="1:15" x14ac:dyDescent="0.3">
      <c r="A324" t="s">
        <v>542</v>
      </c>
      <c r="B324" t="s">
        <v>14</v>
      </c>
      <c r="C324" s="3">
        <v>45552</v>
      </c>
      <c r="D324" t="s">
        <v>22</v>
      </c>
      <c r="E324" t="s">
        <v>23</v>
      </c>
      <c r="F324">
        <v>571</v>
      </c>
      <c r="G324">
        <v>190</v>
      </c>
      <c r="H324">
        <v>352</v>
      </c>
      <c r="I324">
        <v>9707</v>
      </c>
      <c r="J324">
        <v>9418</v>
      </c>
      <c r="K324">
        <v>231</v>
      </c>
      <c r="L324" t="s">
        <v>30</v>
      </c>
      <c r="M324" t="s">
        <v>38</v>
      </c>
      <c r="N324" s="4">
        <f t="shared" si="5"/>
        <v>120.36159472545586</v>
      </c>
      <c r="O324" s="10">
        <f>SUM(Posts_2[[#This Row],[Likes]:[Comments]])</f>
        <v>1113</v>
      </c>
    </row>
    <row r="325" spans="1:15" x14ac:dyDescent="0.3">
      <c r="A325" t="s">
        <v>372</v>
      </c>
      <c r="B325" t="s">
        <v>33</v>
      </c>
      <c r="C325" s="3">
        <v>45674</v>
      </c>
      <c r="D325" t="s">
        <v>16</v>
      </c>
      <c r="E325" t="s">
        <v>82</v>
      </c>
      <c r="F325">
        <v>142</v>
      </c>
      <c r="G325">
        <v>784</v>
      </c>
      <c r="H325">
        <v>183</v>
      </c>
      <c r="I325">
        <v>1704</v>
      </c>
      <c r="J325">
        <v>995</v>
      </c>
      <c r="K325">
        <v>154</v>
      </c>
      <c r="L325" t="s">
        <v>62</v>
      </c>
      <c r="M325" t="s">
        <v>38</v>
      </c>
      <c r="N325" s="4">
        <f t="shared" si="5"/>
        <v>685.65140845070425</v>
      </c>
      <c r="O325" s="10">
        <f>SUM(Posts_2[[#This Row],[Likes]:[Comments]])</f>
        <v>1109</v>
      </c>
    </row>
    <row r="326" spans="1:15" x14ac:dyDescent="0.3">
      <c r="A326" t="s">
        <v>459</v>
      </c>
      <c r="B326" t="s">
        <v>14</v>
      </c>
      <c r="C326" s="3">
        <v>45776</v>
      </c>
      <c r="D326" t="s">
        <v>35</v>
      </c>
      <c r="E326" t="s">
        <v>149</v>
      </c>
      <c r="F326">
        <v>249</v>
      </c>
      <c r="G326">
        <v>592</v>
      </c>
      <c r="H326">
        <v>230</v>
      </c>
      <c r="I326">
        <v>1494</v>
      </c>
      <c r="J326">
        <v>1044</v>
      </c>
      <c r="K326">
        <v>201</v>
      </c>
      <c r="L326" t="s">
        <v>37</v>
      </c>
      <c r="M326" t="s">
        <v>38</v>
      </c>
      <c r="N326" s="4">
        <f t="shared" si="5"/>
        <v>782.02811244979921</v>
      </c>
      <c r="O326" s="10">
        <f>SUM(Posts_2[[#This Row],[Likes]:[Comments]])</f>
        <v>1071</v>
      </c>
    </row>
    <row r="327" spans="1:15" x14ac:dyDescent="0.3">
      <c r="A327" t="s">
        <v>441</v>
      </c>
      <c r="B327" t="s">
        <v>33</v>
      </c>
      <c r="C327" s="3">
        <v>45445</v>
      </c>
      <c r="D327" t="s">
        <v>35</v>
      </c>
      <c r="E327" t="s">
        <v>36</v>
      </c>
      <c r="F327">
        <v>84</v>
      </c>
      <c r="G327">
        <v>897</v>
      </c>
      <c r="H327">
        <v>85</v>
      </c>
      <c r="I327">
        <v>588</v>
      </c>
      <c r="J327">
        <v>8</v>
      </c>
      <c r="K327">
        <v>12</v>
      </c>
      <c r="L327" t="s">
        <v>37</v>
      </c>
      <c r="M327" t="s">
        <v>620</v>
      </c>
      <c r="N327" s="4">
        <f t="shared" si="5"/>
        <v>1986.9897959183672</v>
      </c>
      <c r="O327" s="10">
        <f>SUM(Posts_2[[#This Row],[Likes]:[Comments]])</f>
        <v>1066</v>
      </c>
    </row>
    <row r="328" spans="1:15" x14ac:dyDescent="0.3">
      <c r="A328" t="s">
        <v>378</v>
      </c>
      <c r="B328" t="s">
        <v>33</v>
      </c>
      <c r="C328" s="3">
        <v>45603</v>
      </c>
      <c r="D328" t="s">
        <v>74</v>
      </c>
      <c r="E328" t="s">
        <v>85</v>
      </c>
      <c r="F328">
        <v>129</v>
      </c>
      <c r="G328">
        <v>643</v>
      </c>
      <c r="H328">
        <v>136</v>
      </c>
      <c r="I328">
        <v>1290</v>
      </c>
      <c r="J328">
        <v>839</v>
      </c>
      <c r="K328">
        <v>238</v>
      </c>
      <c r="L328" t="s">
        <v>30</v>
      </c>
      <c r="M328" t="s">
        <v>38</v>
      </c>
      <c r="N328" s="4">
        <f t="shared" si="5"/>
        <v>905.69767441860461</v>
      </c>
      <c r="O328" s="10">
        <f>SUM(Posts_2[[#This Row],[Likes]:[Comments]])</f>
        <v>908</v>
      </c>
    </row>
    <row r="329" spans="1:15" x14ac:dyDescent="0.3">
      <c r="A329" t="s">
        <v>169</v>
      </c>
      <c r="B329" t="s">
        <v>33</v>
      </c>
      <c r="C329" s="3">
        <v>45762</v>
      </c>
      <c r="D329" t="s">
        <v>16</v>
      </c>
      <c r="E329" t="s">
        <v>82</v>
      </c>
      <c r="F329">
        <v>103</v>
      </c>
      <c r="G329">
        <v>770</v>
      </c>
      <c r="H329">
        <v>19</v>
      </c>
      <c r="I329">
        <v>1030</v>
      </c>
      <c r="J329">
        <v>410</v>
      </c>
      <c r="K329">
        <v>262</v>
      </c>
      <c r="L329" t="s">
        <v>30</v>
      </c>
      <c r="M329" t="s">
        <v>38</v>
      </c>
      <c r="N329" s="4">
        <f t="shared" si="5"/>
        <v>1134.3203883495146</v>
      </c>
      <c r="O329" s="10">
        <f>SUM(Posts_2[[#This Row],[Likes]:[Comments]])</f>
        <v>892</v>
      </c>
    </row>
    <row r="330" spans="1:15" x14ac:dyDescent="0.3">
      <c r="A330" t="s">
        <v>185</v>
      </c>
      <c r="B330" t="s">
        <v>14</v>
      </c>
      <c r="C330" s="3">
        <v>45499</v>
      </c>
      <c r="D330" t="s">
        <v>45</v>
      </c>
      <c r="E330" t="s">
        <v>49</v>
      </c>
      <c r="F330">
        <v>432</v>
      </c>
      <c r="G330">
        <v>171</v>
      </c>
      <c r="H330">
        <v>280</v>
      </c>
      <c r="I330">
        <v>3024</v>
      </c>
      <c r="J330">
        <v>2285</v>
      </c>
      <c r="K330">
        <v>184</v>
      </c>
      <c r="L330" t="s">
        <v>37</v>
      </c>
      <c r="M330" t="s">
        <v>19</v>
      </c>
      <c r="N330" s="4">
        <f t="shared" si="5"/>
        <v>386.35912698412699</v>
      </c>
      <c r="O330" s="10">
        <f>SUM(Posts_2[[#This Row],[Likes]:[Comments]])</f>
        <v>883</v>
      </c>
    </row>
    <row r="331" spans="1:15" x14ac:dyDescent="0.3">
      <c r="A331" t="s">
        <v>502</v>
      </c>
      <c r="B331" t="s">
        <v>43</v>
      </c>
      <c r="C331" s="3">
        <v>45698</v>
      </c>
      <c r="D331" t="s">
        <v>22</v>
      </c>
      <c r="E331" t="s">
        <v>56</v>
      </c>
      <c r="F331">
        <v>562</v>
      </c>
      <c r="G331">
        <v>158</v>
      </c>
      <c r="H331">
        <v>149</v>
      </c>
      <c r="I331">
        <v>3372</v>
      </c>
      <c r="J331">
        <v>2940</v>
      </c>
      <c r="K331">
        <v>93</v>
      </c>
      <c r="L331" t="s">
        <v>30</v>
      </c>
      <c r="M331" t="s">
        <v>19</v>
      </c>
      <c r="N331" s="4">
        <f t="shared" si="5"/>
        <v>346.48576512455514</v>
      </c>
      <c r="O331" s="10">
        <f>SUM(Posts_2[[#This Row],[Likes]:[Comments]])</f>
        <v>869</v>
      </c>
    </row>
    <row r="332" spans="1:15" x14ac:dyDescent="0.3">
      <c r="A332" t="s">
        <v>111</v>
      </c>
      <c r="B332" t="s">
        <v>33</v>
      </c>
      <c r="C332" s="3">
        <v>45642</v>
      </c>
      <c r="D332" t="s">
        <v>22</v>
      </c>
      <c r="E332" t="s">
        <v>113</v>
      </c>
      <c r="F332">
        <v>438</v>
      </c>
      <c r="G332">
        <v>153</v>
      </c>
      <c r="H332">
        <v>275</v>
      </c>
      <c r="I332">
        <v>3066</v>
      </c>
      <c r="J332">
        <v>2701</v>
      </c>
      <c r="K332">
        <v>282</v>
      </c>
      <c r="L332" t="s">
        <v>30</v>
      </c>
      <c r="M332" t="s">
        <v>25</v>
      </c>
      <c r="N332" s="4">
        <f t="shared" si="5"/>
        <v>381.0665362035225</v>
      </c>
      <c r="O332" s="10">
        <f>SUM(Posts_2[[#This Row],[Likes]:[Comments]])</f>
        <v>866</v>
      </c>
    </row>
    <row r="333" spans="1:15" x14ac:dyDescent="0.3">
      <c r="A333" t="s">
        <v>227</v>
      </c>
      <c r="B333" t="s">
        <v>43</v>
      </c>
      <c r="C333" s="3">
        <v>45480</v>
      </c>
      <c r="D333" t="s">
        <v>35</v>
      </c>
      <c r="E333" t="s">
        <v>71</v>
      </c>
      <c r="F333">
        <v>302</v>
      </c>
      <c r="G333">
        <v>47</v>
      </c>
      <c r="H333">
        <v>430</v>
      </c>
      <c r="I333">
        <v>5738</v>
      </c>
      <c r="J333">
        <v>4890</v>
      </c>
      <c r="K333">
        <v>25</v>
      </c>
      <c r="L333" t="s">
        <v>30</v>
      </c>
      <c r="M333" t="s">
        <v>38</v>
      </c>
      <c r="N333" s="4">
        <f t="shared" si="5"/>
        <v>203.61624259323807</v>
      </c>
      <c r="O333" s="10">
        <f>SUM(Posts_2[[#This Row],[Likes]:[Comments]])</f>
        <v>779</v>
      </c>
    </row>
    <row r="334" spans="1:15" x14ac:dyDescent="0.3">
      <c r="A334" t="s">
        <v>311</v>
      </c>
      <c r="B334" t="s">
        <v>14</v>
      </c>
      <c r="C334" s="3">
        <v>45745</v>
      </c>
      <c r="D334" t="s">
        <v>52</v>
      </c>
      <c r="E334" t="s">
        <v>132</v>
      </c>
      <c r="F334">
        <v>305</v>
      </c>
      <c r="G334">
        <v>187</v>
      </c>
      <c r="H334">
        <v>243</v>
      </c>
      <c r="I334">
        <v>4575</v>
      </c>
      <c r="J334">
        <v>3704</v>
      </c>
      <c r="K334">
        <v>234</v>
      </c>
      <c r="L334" t="s">
        <v>62</v>
      </c>
      <c r="M334" t="s">
        <v>31</v>
      </c>
      <c r="N334" s="4">
        <f t="shared" si="5"/>
        <v>255.37704918032787</v>
      </c>
      <c r="O334" s="10">
        <f>SUM(Posts_2[[#This Row],[Likes]:[Comments]])</f>
        <v>735</v>
      </c>
    </row>
    <row r="335" spans="1:15" x14ac:dyDescent="0.3">
      <c r="A335" t="s">
        <v>257</v>
      </c>
      <c r="B335" t="s">
        <v>33</v>
      </c>
      <c r="C335" s="3">
        <v>45457</v>
      </c>
      <c r="D335" t="s">
        <v>45</v>
      </c>
      <c r="E335" t="s">
        <v>88</v>
      </c>
      <c r="F335">
        <v>498</v>
      </c>
      <c r="G335">
        <v>38</v>
      </c>
      <c r="H335">
        <v>42</v>
      </c>
      <c r="I335">
        <v>4482</v>
      </c>
      <c r="J335">
        <v>3647</v>
      </c>
      <c r="K335">
        <v>32</v>
      </c>
      <c r="L335" t="s">
        <v>62</v>
      </c>
      <c r="M335" t="s">
        <v>19</v>
      </c>
      <c r="N335" s="4">
        <f t="shared" si="5"/>
        <v>260.67603748326638</v>
      </c>
      <c r="O335" s="10">
        <f>SUM(Posts_2[[#This Row],[Likes]:[Comments]])</f>
        <v>578</v>
      </c>
    </row>
    <row r="336" spans="1:15" x14ac:dyDescent="0.3">
      <c r="A336" t="s">
        <v>452</v>
      </c>
      <c r="B336" t="s">
        <v>33</v>
      </c>
      <c r="C336" s="3">
        <v>45455</v>
      </c>
      <c r="D336" t="s">
        <v>22</v>
      </c>
      <c r="E336" t="s">
        <v>113</v>
      </c>
      <c r="F336">
        <v>246</v>
      </c>
      <c r="G336">
        <v>149</v>
      </c>
      <c r="H336">
        <v>130</v>
      </c>
      <c r="I336">
        <v>4674</v>
      </c>
      <c r="J336">
        <v>4390</v>
      </c>
      <c r="K336">
        <v>217</v>
      </c>
      <c r="L336" t="s">
        <v>62</v>
      </c>
      <c r="M336" t="s">
        <v>31</v>
      </c>
      <c r="N336" s="4">
        <f t="shared" si="5"/>
        <v>249.96790757381257</v>
      </c>
      <c r="O336" s="10">
        <f>SUM(Posts_2[[#This Row],[Likes]:[Comments]])</f>
        <v>525</v>
      </c>
    </row>
    <row r="337" spans="1:15" x14ac:dyDescent="0.3">
      <c r="A337" t="s">
        <v>320</v>
      </c>
      <c r="B337" t="s">
        <v>27</v>
      </c>
      <c r="C337" s="3">
        <v>45567</v>
      </c>
      <c r="D337" t="s">
        <v>45</v>
      </c>
      <c r="E337" t="s">
        <v>68</v>
      </c>
      <c r="F337">
        <v>80</v>
      </c>
      <c r="G337">
        <v>362</v>
      </c>
      <c r="H337">
        <v>80</v>
      </c>
      <c r="I337">
        <v>1040</v>
      </c>
      <c r="J337">
        <v>349</v>
      </c>
      <c r="K337">
        <v>117</v>
      </c>
      <c r="L337" t="s">
        <v>30</v>
      </c>
      <c r="M337" t="s">
        <v>31</v>
      </c>
      <c r="N337" s="4">
        <f t="shared" si="5"/>
        <v>1123.4134615384614</v>
      </c>
      <c r="O337" s="10">
        <f>SUM(Posts_2[[#This Row],[Likes]:[Comments]])</f>
        <v>522</v>
      </c>
    </row>
    <row r="338" spans="1:15" x14ac:dyDescent="0.3">
      <c r="A338" t="s">
        <v>178</v>
      </c>
      <c r="B338" t="s">
        <v>14</v>
      </c>
      <c r="C338" s="3">
        <v>45618</v>
      </c>
      <c r="D338" t="s">
        <v>45</v>
      </c>
      <c r="E338" t="s">
        <v>49</v>
      </c>
      <c r="F338">
        <v>53</v>
      </c>
      <c r="G338">
        <v>81</v>
      </c>
      <c r="H338">
        <v>379</v>
      </c>
      <c r="I338">
        <v>954</v>
      </c>
      <c r="J338">
        <v>7</v>
      </c>
      <c r="K338">
        <v>148</v>
      </c>
      <c r="L338" t="s">
        <v>30</v>
      </c>
      <c r="M338" t="s">
        <v>31</v>
      </c>
      <c r="N338" s="4">
        <f t="shared" si="5"/>
        <v>1224.6855345911949</v>
      </c>
      <c r="O338" s="10">
        <f>SUM(Posts_2[[#This Row],[Likes]:[Comments]])</f>
        <v>513</v>
      </c>
    </row>
    <row r="339" spans="1:15" x14ac:dyDescent="0.3">
      <c r="A339" t="s">
        <v>196</v>
      </c>
      <c r="B339" t="s">
        <v>27</v>
      </c>
      <c r="C339" s="3">
        <v>45719</v>
      </c>
      <c r="D339" t="s">
        <v>16</v>
      </c>
      <c r="E339" t="s">
        <v>29</v>
      </c>
      <c r="F339">
        <v>296</v>
      </c>
      <c r="G339">
        <v>60</v>
      </c>
      <c r="H339">
        <v>141</v>
      </c>
      <c r="I339">
        <v>5624</v>
      </c>
      <c r="J339">
        <v>5239</v>
      </c>
      <c r="K339">
        <v>88</v>
      </c>
      <c r="L339" t="s">
        <v>37</v>
      </c>
      <c r="M339" t="s">
        <v>25</v>
      </c>
      <c r="N339" s="4">
        <f t="shared" si="5"/>
        <v>207.74359886201992</v>
      </c>
      <c r="O339" s="10">
        <f>SUM(Posts_2[[#This Row],[Likes]:[Comments]])</f>
        <v>497</v>
      </c>
    </row>
    <row r="340" spans="1:15" x14ac:dyDescent="0.3">
      <c r="A340" t="s">
        <v>511</v>
      </c>
      <c r="B340" t="s">
        <v>14</v>
      </c>
      <c r="C340" s="3">
        <v>45687</v>
      </c>
      <c r="D340" t="s">
        <v>52</v>
      </c>
      <c r="E340" t="s">
        <v>132</v>
      </c>
      <c r="F340">
        <v>59</v>
      </c>
      <c r="G340">
        <v>163</v>
      </c>
      <c r="H340">
        <v>93</v>
      </c>
      <c r="I340">
        <v>590</v>
      </c>
      <c r="J340">
        <v>475</v>
      </c>
      <c r="K340">
        <v>293</v>
      </c>
      <c r="L340" t="s">
        <v>30</v>
      </c>
      <c r="M340" t="s">
        <v>25</v>
      </c>
      <c r="N340" s="4">
        <f t="shared" si="5"/>
        <v>1980.2542372881355</v>
      </c>
      <c r="O340" s="10">
        <f>SUM(Posts_2[[#This Row],[Likes]:[Comments]])</f>
        <v>315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A330-38D8-4F81-A55C-301639FBDDC3}">
  <dimension ref="A1:I201"/>
  <sheetViews>
    <sheetView workbookViewId="0">
      <selection activeCell="H1" sqref="H1:H201"/>
    </sheetView>
  </sheetViews>
  <sheetFormatPr defaultRowHeight="14.4" x14ac:dyDescent="0.3"/>
  <cols>
    <col min="1" max="1" width="18" bestFit="1" customWidth="1"/>
    <col min="2" max="2" width="10.5546875" bestFit="1" customWidth="1"/>
    <col min="3" max="3" width="16" bestFit="1" customWidth="1"/>
    <col min="4" max="4" width="11.6640625" bestFit="1" customWidth="1"/>
    <col min="5" max="5" width="16.44140625" bestFit="1" customWidth="1"/>
    <col min="6" max="6" width="18.6640625" bestFit="1" customWidth="1"/>
    <col min="7" max="7" width="11.88671875" bestFit="1" customWidth="1"/>
    <col min="8" max="8" width="25.6640625" style="27" bestFit="1" customWidth="1"/>
    <col min="9" max="9" width="15.109375" bestFit="1" customWidth="1"/>
  </cols>
  <sheetData>
    <row r="1" spans="1:9" x14ac:dyDescent="0.3">
      <c r="A1" t="s">
        <v>567</v>
      </c>
      <c r="B1" t="s">
        <v>1</v>
      </c>
      <c r="C1" t="s">
        <v>568</v>
      </c>
      <c r="D1" t="s">
        <v>569</v>
      </c>
      <c r="E1" t="s">
        <v>570</v>
      </c>
      <c r="F1" t="s">
        <v>571</v>
      </c>
      <c r="G1" t="s">
        <v>572</v>
      </c>
      <c r="H1" s="82" t="s">
        <v>639</v>
      </c>
      <c r="I1" s="83" t="s">
        <v>638</v>
      </c>
    </row>
    <row r="2" spans="1:9" x14ac:dyDescent="0.3">
      <c r="A2" s="3">
        <v>45446</v>
      </c>
      <c r="B2" t="s">
        <v>33</v>
      </c>
      <c r="C2">
        <v>1135</v>
      </c>
      <c r="D2">
        <v>88</v>
      </c>
      <c r="E2">
        <v>344084</v>
      </c>
      <c r="F2">
        <v>8.06</v>
      </c>
      <c r="G2">
        <v>5904</v>
      </c>
      <c r="H2" s="82">
        <v>3.0428616268120576E-3</v>
      </c>
      <c r="I2" s="83">
        <v>1047</v>
      </c>
    </row>
    <row r="3" spans="1:9" x14ac:dyDescent="0.3">
      <c r="A3" s="3">
        <v>45446</v>
      </c>
      <c r="B3" t="s">
        <v>43</v>
      </c>
      <c r="C3">
        <v>1312</v>
      </c>
      <c r="D3">
        <v>310</v>
      </c>
      <c r="E3">
        <v>42654</v>
      </c>
      <c r="F3">
        <v>4.9800000000000004</v>
      </c>
      <c r="G3">
        <v>9566</v>
      </c>
      <c r="H3" s="82">
        <v>2.3491348994232664E-2</v>
      </c>
      <c r="I3" s="83">
        <v>1002</v>
      </c>
    </row>
    <row r="4" spans="1:9" x14ac:dyDescent="0.3">
      <c r="A4" s="3">
        <v>45446</v>
      </c>
      <c r="B4" t="s">
        <v>14</v>
      </c>
      <c r="C4">
        <v>584</v>
      </c>
      <c r="D4">
        <v>169</v>
      </c>
      <c r="E4">
        <v>146834</v>
      </c>
      <c r="F4">
        <v>8.31</v>
      </c>
      <c r="G4">
        <v>26752</v>
      </c>
      <c r="H4" s="82">
        <v>2.826320879360366E-3</v>
      </c>
      <c r="I4" s="83">
        <v>415</v>
      </c>
    </row>
    <row r="5" spans="1:9" x14ac:dyDescent="0.3">
      <c r="A5" s="3">
        <v>45446</v>
      </c>
      <c r="B5" t="s">
        <v>27</v>
      </c>
      <c r="C5">
        <v>1535</v>
      </c>
      <c r="D5">
        <v>445</v>
      </c>
      <c r="E5">
        <v>395536</v>
      </c>
      <c r="F5">
        <v>4.1100000000000003</v>
      </c>
      <c r="G5">
        <v>30671</v>
      </c>
      <c r="H5" s="82">
        <v>2.7557542170624167E-3</v>
      </c>
      <c r="I5" s="83">
        <v>1090</v>
      </c>
    </row>
    <row r="6" spans="1:9" x14ac:dyDescent="0.3">
      <c r="A6" s="3">
        <v>45453</v>
      </c>
      <c r="B6" t="s">
        <v>33</v>
      </c>
      <c r="C6">
        <v>656</v>
      </c>
      <c r="D6">
        <v>139</v>
      </c>
      <c r="E6">
        <v>49157</v>
      </c>
      <c r="F6">
        <v>9.0500000000000007</v>
      </c>
      <c r="G6">
        <v>9920</v>
      </c>
      <c r="H6" s="82">
        <v>1.0517322049758936E-2</v>
      </c>
      <c r="I6" s="83">
        <v>517</v>
      </c>
    </row>
    <row r="7" spans="1:9" x14ac:dyDescent="0.3">
      <c r="A7" s="3">
        <v>45453</v>
      </c>
      <c r="B7" t="s">
        <v>43</v>
      </c>
      <c r="C7">
        <v>1697</v>
      </c>
      <c r="D7">
        <v>414</v>
      </c>
      <c r="E7">
        <v>316555</v>
      </c>
      <c r="F7">
        <v>2.37</v>
      </c>
      <c r="G7">
        <v>7924</v>
      </c>
      <c r="H7" s="82">
        <v>4.0530081660374974E-3</v>
      </c>
      <c r="I7" s="83">
        <v>1283</v>
      </c>
    </row>
    <row r="8" spans="1:9" x14ac:dyDescent="0.3">
      <c r="A8" s="3">
        <v>45453</v>
      </c>
      <c r="B8" t="s">
        <v>14</v>
      </c>
      <c r="C8">
        <v>436</v>
      </c>
      <c r="D8">
        <v>250</v>
      </c>
      <c r="E8">
        <v>254347</v>
      </c>
      <c r="F8">
        <v>4.01</v>
      </c>
      <c r="G8">
        <v>8912</v>
      </c>
      <c r="H8" s="82">
        <v>7.3128442639386348E-4</v>
      </c>
      <c r="I8" s="83">
        <v>186</v>
      </c>
    </row>
    <row r="9" spans="1:9" x14ac:dyDescent="0.3">
      <c r="A9" s="3">
        <v>45453</v>
      </c>
      <c r="B9" t="s">
        <v>27</v>
      </c>
      <c r="C9">
        <v>1197</v>
      </c>
      <c r="D9">
        <v>203</v>
      </c>
      <c r="E9">
        <v>413878</v>
      </c>
      <c r="F9">
        <v>3.16</v>
      </c>
      <c r="G9">
        <v>21205</v>
      </c>
      <c r="H9" s="82">
        <v>2.4016739232334168E-3</v>
      </c>
      <c r="I9" s="83">
        <v>994</v>
      </c>
    </row>
    <row r="10" spans="1:9" x14ac:dyDescent="0.3">
      <c r="A10" s="3">
        <v>45460</v>
      </c>
      <c r="B10" t="s">
        <v>33</v>
      </c>
      <c r="C10">
        <v>1048</v>
      </c>
      <c r="D10">
        <v>155</v>
      </c>
      <c r="E10">
        <v>456946</v>
      </c>
      <c r="F10">
        <v>2.46</v>
      </c>
      <c r="G10">
        <v>11329</v>
      </c>
      <c r="H10" s="82">
        <v>1.9542790614208243E-3</v>
      </c>
      <c r="I10" s="83">
        <v>893</v>
      </c>
    </row>
    <row r="11" spans="1:9" x14ac:dyDescent="0.3">
      <c r="A11" s="3">
        <v>45460</v>
      </c>
      <c r="B11" t="s">
        <v>43</v>
      </c>
      <c r="C11">
        <v>1753</v>
      </c>
      <c r="D11">
        <v>371</v>
      </c>
      <c r="E11">
        <v>169496</v>
      </c>
      <c r="F11">
        <v>8.11</v>
      </c>
      <c r="G11">
        <v>46670</v>
      </c>
      <c r="H11" s="82">
        <v>8.1535847453627231E-3</v>
      </c>
      <c r="I11" s="83">
        <v>1382</v>
      </c>
    </row>
    <row r="12" spans="1:9" x14ac:dyDescent="0.3">
      <c r="A12" s="3">
        <v>45460</v>
      </c>
      <c r="B12" t="s">
        <v>14</v>
      </c>
      <c r="C12">
        <v>1335</v>
      </c>
      <c r="D12">
        <v>40</v>
      </c>
      <c r="E12">
        <v>122732</v>
      </c>
      <c r="F12">
        <v>8.19</v>
      </c>
      <c r="G12">
        <v>22482</v>
      </c>
      <c r="H12" s="82">
        <v>1.0551445425805821E-2</v>
      </c>
      <c r="I12" s="83">
        <v>1295</v>
      </c>
    </row>
    <row r="13" spans="1:9" x14ac:dyDescent="0.3">
      <c r="A13" s="3">
        <v>45460</v>
      </c>
      <c r="B13" t="s">
        <v>27</v>
      </c>
      <c r="C13">
        <v>403</v>
      </c>
      <c r="D13">
        <v>66</v>
      </c>
      <c r="E13">
        <v>382851</v>
      </c>
      <c r="F13">
        <v>3.49</v>
      </c>
      <c r="G13">
        <v>24313</v>
      </c>
      <c r="H13" s="82">
        <v>8.80238003818718E-4</v>
      </c>
      <c r="I13" s="83">
        <v>337</v>
      </c>
    </row>
    <row r="14" spans="1:9" x14ac:dyDescent="0.3">
      <c r="A14" s="3">
        <v>45467</v>
      </c>
      <c r="B14" t="s">
        <v>33</v>
      </c>
      <c r="C14">
        <v>911</v>
      </c>
      <c r="D14">
        <v>282</v>
      </c>
      <c r="E14">
        <v>35664</v>
      </c>
      <c r="F14">
        <v>6.92</v>
      </c>
      <c r="G14">
        <v>18050</v>
      </c>
      <c r="H14" s="82">
        <v>1.7636832660385824E-2</v>
      </c>
      <c r="I14" s="83">
        <v>629</v>
      </c>
    </row>
    <row r="15" spans="1:9" x14ac:dyDescent="0.3">
      <c r="A15" s="3">
        <v>45467</v>
      </c>
      <c r="B15" t="s">
        <v>43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  <c r="H15" s="82">
        <v>6.3510173036698994E-2</v>
      </c>
      <c r="I15" s="83">
        <v>1670</v>
      </c>
    </row>
    <row r="16" spans="1:9" x14ac:dyDescent="0.3">
      <c r="A16" s="3">
        <v>45467</v>
      </c>
      <c r="B16" t="s">
        <v>14</v>
      </c>
      <c r="C16">
        <v>1238</v>
      </c>
      <c r="D16">
        <v>403</v>
      </c>
      <c r="E16">
        <v>298421</v>
      </c>
      <c r="F16">
        <v>3.5</v>
      </c>
      <c r="G16">
        <v>31280</v>
      </c>
      <c r="H16" s="82">
        <v>2.798060458211721E-3</v>
      </c>
      <c r="I16" s="83">
        <v>835</v>
      </c>
    </row>
    <row r="17" spans="1:9" x14ac:dyDescent="0.3">
      <c r="A17" s="3">
        <v>45467</v>
      </c>
      <c r="B17" t="s">
        <v>27</v>
      </c>
      <c r="C17">
        <v>308</v>
      </c>
      <c r="D17">
        <v>431</v>
      </c>
      <c r="E17">
        <v>426184</v>
      </c>
      <c r="F17">
        <v>2.62</v>
      </c>
      <c r="G17">
        <v>1783</v>
      </c>
      <c r="H17" s="82">
        <v>-2.8860773750305035E-4</v>
      </c>
      <c r="I17" s="83">
        <v>-123</v>
      </c>
    </row>
    <row r="18" spans="1:9" x14ac:dyDescent="0.3">
      <c r="A18" s="3">
        <v>45474</v>
      </c>
      <c r="B18" t="s">
        <v>33</v>
      </c>
      <c r="C18">
        <v>226</v>
      </c>
      <c r="D18">
        <v>445</v>
      </c>
      <c r="E18">
        <v>419447</v>
      </c>
      <c r="F18">
        <v>9.36</v>
      </c>
      <c r="G18">
        <v>9566</v>
      </c>
      <c r="H18" s="82">
        <v>-5.2211602419375983E-4</v>
      </c>
      <c r="I18" s="83">
        <v>-219</v>
      </c>
    </row>
    <row r="19" spans="1:9" x14ac:dyDescent="0.3">
      <c r="A19" s="3">
        <v>45474</v>
      </c>
      <c r="B19" t="s">
        <v>43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  <c r="H19" s="82">
        <v>2.9088264703208797E-4</v>
      </c>
      <c r="I19" s="83">
        <v>64</v>
      </c>
    </row>
    <row r="20" spans="1:9" x14ac:dyDescent="0.3">
      <c r="A20" s="3">
        <v>45474</v>
      </c>
      <c r="B20" t="s">
        <v>14</v>
      </c>
      <c r="C20">
        <v>1420</v>
      </c>
      <c r="D20">
        <v>63</v>
      </c>
      <c r="E20">
        <v>315305</v>
      </c>
      <c r="F20">
        <v>6.19</v>
      </c>
      <c r="G20">
        <v>5914</v>
      </c>
      <c r="H20" s="82">
        <v>4.3037693661692649E-3</v>
      </c>
      <c r="I20" s="83">
        <v>1357</v>
      </c>
    </row>
    <row r="21" spans="1:9" x14ac:dyDescent="0.3">
      <c r="A21" s="3">
        <v>45474</v>
      </c>
      <c r="B21" t="s">
        <v>27</v>
      </c>
      <c r="C21">
        <v>144</v>
      </c>
      <c r="D21">
        <v>53</v>
      </c>
      <c r="E21">
        <v>113678</v>
      </c>
      <c r="F21">
        <v>8.7200000000000006</v>
      </c>
      <c r="G21">
        <v>30060</v>
      </c>
      <c r="H21" s="82">
        <v>8.0050669434719116E-4</v>
      </c>
      <c r="I21" s="83">
        <v>91</v>
      </c>
    </row>
    <row r="22" spans="1:9" x14ac:dyDescent="0.3">
      <c r="A22" s="3">
        <v>45481</v>
      </c>
      <c r="B22" t="s">
        <v>33</v>
      </c>
      <c r="C22">
        <v>1757</v>
      </c>
      <c r="D22">
        <v>85</v>
      </c>
      <c r="E22">
        <v>58223</v>
      </c>
      <c r="F22">
        <v>8.74</v>
      </c>
      <c r="G22">
        <v>22728</v>
      </c>
      <c r="H22" s="82">
        <v>2.8717173625543171E-2</v>
      </c>
      <c r="I22" s="83">
        <v>1672</v>
      </c>
    </row>
    <row r="23" spans="1:9" x14ac:dyDescent="0.3">
      <c r="A23" s="3">
        <v>45481</v>
      </c>
      <c r="B23" t="s">
        <v>43</v>
      </c>
      <c r="C23">
        <v>350</v>
      </c>
      <c r="D23">
        <v>41</v>
      </c>
      <c r="E23">
        <v>251694</v>
      </c>
      <c r="F23">
        <v>1.91</v>
      </c>
      <c r="G23">
        <v>38610</v>
      </c>
      <c r="H23" s="82">
        <v>1.2276812319721568E-3</v>
      </c>
      <c r="I23" s="83">
        <v>309</v>
      </c>
    </row>
    <row r="24" spans="1:9" x14ac:dyDescent="0.3">
      <c r="A24" s="3">
        <v>45481</v>
      </c>
      <c r="B24" t="s">
        <v>14</v>
      </c>
      <c r="C24">
        <v>987</v>
      </c>
      <c r="D24">
        <v>440</v>
      </c>
      <c r="E24">
        <v>389810</v>
      </c>
      <c r="F24">
        <v>4.66</v>
      </c>
      <c r="G24">
        <v>2932</v>
      </c>
      <c r="H24" s="82">
        <v>1.40324773607655E-3</v>
      </c>
      <c r="I24" s="83">
        <v>547</v>
      </c>
    </row>
    <row r="25" spans="1:9" x14ac:dyDescent="0.3">
      <c r="A25" s="3">
        <v>45481</v>
      </c>
      <c r="B25" t="s">
        <v>27</v>
      </c>
      <c r="C25">
        <v>883</v>
      </c>
      <c r="D25">
        <v>369</v>
      </c>
      <c r="E25">
        <v>233694</v>
      </c>
      <c r="F25">
        <v>2.88</v>
      </c>
      <c r="G25">
        <v>15071</v>
      </c>
      <c r="H25" s="82">
        <v>2.1994574101175039E-3</v>
      </c>
      <c r="I25" s="83">
        <v>514</v>
      </c>
    </row>
    <row r="26" spans="1:9" x14ac:dyDescent="0.3">
      <c r="A26" s="3">
        <v>45488</v>
      </c>
      <c r="B26" t="s">
        <v>33</v>
      </c>
      <c r="C26">
        <v>1960</v>
      </c>
      <c r="D26">
        <v>115</v>
      </c>
      <c r="E26">
        <v>154169</v>
      </c>
      <c r="F26">
        <v>3.74</v>
      </c>
      <c r="G26">
        <v>10740</v>
      </c>
      <c r="H26" s="82">
        <v>1.1967386439556591E-2</v>
      </c>
      <c r="I26" s="83">
        <v>1845</v>
      </c>
    </row>
    <row r="27" spans="1:9" x14ac:dyDescent="0.3">
      <c r="A27" s="3">
        <v>45488</v>
      </c>
      <c r="B27" t="s">
        <v>43</v>
      </c>
      <c r="C27">
        <v>170</v>
      </c>
      <c r="D27">
        <v>334</v>
      </c>
      <c r="E27">
        <v>334626</v>
      </c>
      <c r="F27">
        <v>6.44</v>
      </c>
      <c r="G27">
        <v>43420</v>
      </c>
      <c r="H27" s="82">
        <v>-4.9009939454794306E-4</v>
      </c>
      <c r="I27" s="83">
        <v>-164</v>
      </c>
    </row>
    <row r="28" spans="1:9" x14ac:dyDescent="0.3">
      <c r="A28" s="3">
        <v>45488</v>
      </c>
      <c r="B28" t="s">
        <v>14</v>
      </c>
      <c r="C28">
        <v>704</v>
      </c>
      <c r="D28">
        <v>275</v>
      </c>
      <c r="E28">
        <v>226002</v>
      </c>
      <c r="F28">
        <v>8.56</v>
      </c>
      <c r="G28">
        <v>32393</v>
      </c>
      <c r="H28" s="82">
        <v>1.8982132901478749E-3</v>
      </c>
      <c r="I28" s="83">
        <v>429</v>
      </c>
    </row>
    <row r="29" spans="1:9" x14ac:dyDescent="0.3">
      <c r="A29" s="3">
        <v>45488</v>
      </c>
      <c r="B29" t="s">
        <v>27</v>
      </c>
      <c r="C29">
        <v>224</v>
      </c>
      <c r="D29">
        <v>64</v>
      </c>
      <c r="E29">
        <v>156683</v>
      </c>
      <c r="F29">
        <v>4.5599999999999996</v>
      </c>
      <c r="G29">
        <v>28474</v>
      </c>
      <c r="H29" s="82">
        <v>1.0211701333265254E-3</v>
      </c>
      <c r="I29" s="83">
        <v>160</v>
      </c>
    </row>
    <row r="30" spans="1:9" x14ac:dyDescent="0.3">
      <c r="A30" s="3">
        <v>45495</v>
      </c>
      <c r="B30" t="s">
        <v>33</v>
      </c>
      <c r="C30">
        <v>508</v>
      </c>
      <c r="D30">
        <v>349</v>
      </c>
      <c r="E30">
        <v>473812</v>
      </c>
      <c r="F30">
        <v>7.88</v>
      </c>
      <c r="G30">
        <v>17328</v>
      </c>
      <c r="H30" s="82">
        <v>3.3557613568250698E-4</v>
      </c>
      <c r="I30" s="83">
        <v>159</v>
      </c>
    </row>
    <row r="31" spans="1:9" x14ac:dyDescent="0.3">
      <c r="A31" s="3">
        <v>45495</v>
      </c>
      <c r="B31" t="s">
        <v>43</v>
      </c>
      <c r="C31">
        <v>1391</v>
      </c>
      <c r="D31">
        <v>430</v>
      </c>
      <c r="E31">
        <v>295032</v>
      </c>
      <c r="F31">
        <v>7.86</v>
      </c>
      <c r="G31">
        <v>26067</v>
      </c>
      <c r="H31" s="82">
        <v>3.2572737872501967E-3</v>
      </c>
      <c r="I31" s="83">
        <v>961</v>
      </c>
    </row>
    <row r="32" spans="1:9" x14ac:dyDescent="0.3">
      <c r="A32" s="3">
        <v>45495</v>
      </c>
      <c r="B32" t="s">
        <v>14</v>
      </c>
      <c r="C32">
        <v>1701</v>
      </c>
      <c r="D32">
        <v>385</v>
      </c>
      <c r="E32">
        <v>198278</v>
      </c>
      <c r="F32">
        <v>5.34</v>
      </c>
      <c r="G32">
        <v>32763</v>
      </c>
      <c r="H32" s="82">
        <v>6.6371458255580548E-3</v>
      </c>
      <c r="I32" s="83">
        <v>1316</v>
      </c>
    </row>
    <row r="33" spans="1:9" x14ac:dyDescent="0.3">
      <c r="A33" s="3">
        <v>45495</v>
      </c>
      <c r="B33" t="s">
        <v>27</v>
      </c>
      <c r="C33">
        <v>804</v>
      </c>
      <c r="D33">
        <v>487</v>
      </c>
      <c r="E33">
        <v>306564</v>
      </c>
      <c r="F33">
        <v>5.52</v>
      </c>
      <c r="G33">
        <v>26452</v>
      </c>
      <c r="H33" s="82">
        <v>1.0340418313957282E-3</v>
      </c>
      <c r="I33" s="83">
        <v>317</v>
      </c>
    </row>
    <row r="34" spans="1:9" x14ac:dyDescent="0.3">
      <c r="A34" s="3">
        <v>45502</v>
      </c>
      <c r="B34" t="s">
        <v>33</v>
      </c>
      <c r="C34">
        <v>653</v>
      </c>
      <c r="D34">
        <v>112</v>
      </c>
      <c r="E34">
        <v>23664</v>
      </c>
      <c r="F34">
        <v>4.05</v>
      </c>
      <c r="G34">
        <v>15353</v>
      </c>
      <c r="H34" s="82">
        <v>2.2861730899256253E-2</v>
      </c>
      <c r="I34" s="83">
        <v>541</v>
      </c>
    </row>
    <row r="35" spans="1:9" x14ac:dyDescent="0.3">
      <c r="A35" s="3">
        <v>45502</v>
      </c>
      <c r="B35" t="s">
        <v>43</v>
      </c>
      <c r="C35">
        <v>160</v>
      </c>
      <c r="D35">
        <v>478</v>
      </c>
      <c r="E35">
        <v>435034</v>
      </c>
      <c r="F35">
        <v>7.73</v>
      </c>
      <c r="G35">
        <v>4839</v>
      </c>
      <c r="H35" s="82">
        <v>-7.3097734889686784E-4</v>
      </c>
      <c r="I35" s="83">
        <v>-318</v>
      </c>
    </row>
    <row r="36" spans="1:9" x14ac:dyDescent="0.3">
      <c r="A36" s="3">
        <v>45502</v>
      </c>
      <c r="B36" t="s">
        <v>14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  <c r="H36" s="82">
        <v>5.1986619096302169E-3</v>
      </c>
      <c r="I36" s="83">
        <v>1495</v>
      </c>
    </row>
    <row r="37" spans="1:9" x14ac:dyDescent="0.3">
      <c r="A37" s="3">
        <v>45502</v>
      </c>
      <c r="B37" t="s">
        <v>27</v>
      </c>
      <c r="C37">
        <v>576</v>
      </c>
      <c r="D37">
        <v>101</v>
      </c>
      <c r="E37">
        <v>62499</v>
      </c>
      <c r="F37">
        <v>3.48</v>
      </c>
      <c r="G37">
        <v>16804</v>
      </c>
      <c r="H37" s="82">
        <v>7.600121601945631E-3</v>
      </c>
      <c r="I37" s="83">
        <v>475</v>
      </c>
    </row>
    <row r="38" spans="1:9" x14ac:dyDescent="0.3">
      <c r="A38" s="3">
        <v>45509</v>
      </c>
      <c r="B38" t="s">
        <v>33</v>
      </c>
      <c r="C38">
        <v>645</v>
      </c>
      <c r="D38">
        <v>293</v>
      </c>
      <c r="E38">
        <v>437968</v>
      </c>
      <c r="F38">
        <v>7.83</v>
      </c>
      <c r="G38">
        <v>49303</v>
      </c>
      <c r="H38" s="82">
        <v>8.0371168669857163E-4</v>
      </c>
      <c r="I38" s="83">
        <v>352</v>
      </c>
    </row>
    <row r="39" spans="1:9" x14ac:dyDescent="0.3">
      <c r="A39" s="3">
        <v>45509</v>
      </c>
      <c r="B39" t="s">
        <v>43</v>
      </c>
      <c r="C39">
        <v>214</v>
      </c>
      <c r="D39">
        <v>411</v>
      </c>
      <c r="E39">
        <v>125034</v>
      </c>
      <c r="F39">
        <v>6.11</v>
      </c>
      <c r="G39">
        <v>26455</v>
      </c>
      <c r="H39" s="82">
        <v>-1.5755714445670778E-3</v>
      </c>
      <c r="I39" s="83">
        <v>-197</v>
      </c>
    </row>
    <row r="40" spans="1:9" x14ac:dyDescent="0.3">
      <c r="A40" s="3">
        <v>45509</v>
      </c>
      <c r="B40" t="s">
        <v>14</v>
      </c>
      <c r="C40">
        <v>826</v>
      </c>
      <c r="D40">
        <v>498</v>
      </c>
      <c r="E40">
        <v>449994</v>
      </c>
      <c r="F40">
        <v>9.43</v>
      </c>
      <c r="G40">
        <v>12384</v>
      </c>
      <c r="H40" s="82">
        <v>7.2889860753698943E-4</v>
      </c>
      <c r="I40" s="83">
        <v>328</v>
      </c>
    </row>
    <row r="41" spans="1:9" x14ac:dyDescent="0.3">
      <c r="A41" s="3">
        <v>45509</v>
      </c>
      <c r="B41" t="s">
        <v>27</v>
      </c>
      <c r="C41">
        <v>460</v>
      </c>
      <c r="D41">
        <v>141</v>
      </c>
      <c r="E41">
        <v>320650</v>
      </c>
      <c r="F41">
        <v>4.04</v>
      </c>
      <c r="G41">
        <v>49372</v>
      </c>
      <c r="H41" s="82">
        <v>9.9485420240137223E-4</v>
      </c>
      <c r="I41" s="83">
        <v>319</v>
      </c>
    </row>
    <row r="42" spans="1:9" x14ac:dyDescent="0.3">
      <c r="A42" s="3">
        <v>45516</v>
      </c>
      <c r="B42" t="s">
        <v>33</v>
      </c>
      <c r="C42">
        <v>1528</v>
      </c>
      <c r="D42">
        <v>203</v>
      </c>
      <c r="E42">
        <v>489188</v>
      </c>
      <c r="F42">
        <v>6.23</v>
      </c>
      <c r="G42">
        <v>47101</v>
      </c>
      <c r="H42" s="82">
        <v>2.7085701202809553E-3</v>
      </c>
      <c r="I42" s="83">
        <v>1325</v>
      </c>
    </row>
    <row r="43" spans="1:9" x14ac:dyDescent="0.3">
      <c r="A43" s="3">
        <v>45516</v>
      </c>
      <c r="B43" t="s">
        <v>43</v>
      </c>
      <c r="C43">
        <v>1534</v>
      </c>
      <c r="D43">
        <v>200</v>
      </c>
      <c r="E43">
        <v>307612</v>
      </c>
      <c r="F43">
        <v>6.01</v>
      </c>
      <c r="G43">
        <v>37903</v>
      </c>
      <c r="H43" s="82">
        <v>4.3366318609156986E-3</v>
      </c>
      <c r="I43" s="83">
        <v>1334</v>
      </c>
    </row>
    <row r="44" spans="1:9" x14ac:dyDescent="0.3">
      <c r="A44" s="3">
        <v>45516</v>
      </c>
      <c r="B44" t="s">
        <v>14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  <c r="H44" s="82">
        <v>8.5080354946042954E-5</v>
      </c>
      <c r="I44" s="83">
        <v>37</v>
      </c>
    </row>
    <row r="45" spans="1:9" x14ac:dyDescent="0.3">
      <c r="A45" s="3">
        <v>45516</v>
      </c>
      <c r="B45" t="s">
        <v>27</v>
      </c>
      <c r="C45">
        <v>1210</v>
      </c>
      <c r="D45">
        <v>178</v>
      </c>
      <c r="E45">
        <v>102042</v>
      </c>
      <c r="F45">
        <v>5.42</v>
      </c>
      <c r="G45">
        <v>6915</v>
      </c>
      <c r="H45" s="82">
        <v>1.011348268360087E-2</v>
      </c>
      <c r="I45" s="83">
        <v>1032</v>
      </c>
    </row>
    <row r="46" spans="1:9" x14ac:dyDescent="0.3">
      <c r="A46" s="3">
        <v>45523</v>
      </c>
      <c r="B46" t="s">
        <v>33</v>
      </c>
      <c r="C46">
        <v>215</v>
      </c>
      <c r="D46">
        <v>139</v>
      </c>
      <c r="E46">
        <v>325444</v>
      </c>
      <c r="F46">
        <v>3.25</v>
      </c>
      <c r="G46">
        <v>35501</v>
      </c>
      <c r="H46" s="82">
        <v>2.335271198731579E-4</v>
      </c>
      <c r="I46" s="83">
        <v>76</v>
      </c>
    </row>
    <row r="47" spans="1:9" x14ac:dyDescent="0.3">
      <c r="A47" s="3">
        <v>45523</v>
      </c>
      <c r="B47" t="s">
        <v>43</v>
      </c>
      <c r="C47">
        <v>1078</v>
      </c>
      <c r="D47">
        <v>20</v>
      </c>
      <c r="E47">
        <v>183924</v>
      </c>
      <c r="F47">
        <v>8.84</v>
      </c>
      <c r="G47">
        <v>14203</v>
      </c>
      <c r="H47" s="82">
        <v>5.7523759813836147E-3</v>
      </c>
      <c r="I47" s="83">
        <v>1058</v>
      </c>
    </row>
    <row r="48" spans="1:9" x14ac:dyDescent="0.3">
      <c r="A48" s="3">
        <v>45523</v>
      </c>
      <c r="B48" t="s">
        <v>14</v>
      </c>
      <c r="C48">
        <v>1751</v>
      </c>
      <c r="D48">
        <v>86</v>
      </c>
      <c r="E48">
        <v>188655</v>
      </c>
      <c r="F48">
        <v>7.24</v>
      </c>
      <c r="G48">
        <v>22206</v>
      </c>
      <c r="H48" s="82">
        <v>8.825634093981077E-3</v>
      </c>
      <c r="I48" s="83">
        <v>1665</v>
      </c>
    </row>
    <row r="49" spans="1:9" x14ac:dyDescent="0.3">
      <c r="A49" s="3">
        <v>45523</v>
      </c>
      <c r="B49" t="s">
        <v>27</v>
      </c>
      <c r="C49">
        <v>221</v>
      </c>
      <c r="D49">
        <v>31</v>
      </c>
      <c r="E49">
        <v>87443</v>
      </c>
      <c r="F49">
        <v>6.19</v>
      </c>
      <c r="G49">
        <v>10283</v>
      </c>
      <c r="H49" s="82">
        <v>2.1728440241071327E-3</v>
      </c>
      <c r="I49" s="83">
        <v>190</v>
      </c>
    </row>
    <row r="50" spans="1:9" x14ac:dyDescent="0.3">
      <c r="A50" s="3">
        <v>45530</v>
      </c>
      <c r="B50" t="s">
        <v>33</v>
      </c>
      <c r="C50">
        <v>1685</v>
      </c>
      <c r="D50">
        <v>76</v>
      </c>
      <c r="E50">
        <v>453799</v>
      </c>
      <c r="F50">
        <v>5.71</v>
      </c>
      <c r="G50">
        <v>24913</v>
      </c>
      <c r="H50" s="82">
        <v>3.5456226214689766E-3</v>
      </c>
      <c r="I50" s="83">
        <v>1609</v>
      </c>
    </row>
    <row r="51" spans="1:9" x14ac:dyDescent="0.3">
      <c r="A51" s="3">
        <v>45530</v>
      </c>
      <c r="B51" t="s">
        <v>43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  <c r="H51" s="82">
        <v>9.7527544941747058E-5</v>
      </c>
      <c r="I51" s="83">
        <v>37</v>
      </c>
    </row>
    <row r="52" spans="1:9" x14ac:dyDescent="0.3">
      <c r="A52" s="3">
        <v>45530</v>
      </c>
      <c r="B52" t="s">
        <v>14</v>
      </c>
      <c r="C52">
        <v>1300</v>
      </c>
      <c r="D52">
        <v>71</v>
      </c>
      <c r="E52">
        <v>186454</v>
      </c>
      <c r="F52">
        <v>3.91</v>
      </c>
      <c r="G52">
        <v>9942</v>
      </c>
      <c r="H52" s="82">
        <v>6.5914381026955706E-3</v>
      </c>
      <c r="I52" s="83">
        <v>1229</v>
      </c>
    </row>
    <row r="53" spans="1:9" x14ac:dyDescent="0.3">
      <c r="A53" s="3">
        <v>45530</v>
      </c>
      <c r="B53" t="s">
        <v>27</v>
      </c>
      <c r="C53">
        <v>422</v>
      </c>
      <c r="D53">
        <v>394</v>
      </c>
      <c r="E53">
        <v>239044</v>
      </c>
      <c r="F53">
        <v>7.83</v>
      </c>
      <c r="G53">
        <v>32929</v>
      </c>
      <c r="H53" s="82">
        <v>1.1713324743561855E-4</v>
      </c>
      <c r="I53" s="83">
        <v>28</v>
      </c>
    </row>
    <row r="54" spans="1:9" x14ac:dyDescent="0.3">
      <c r="A54" s="3">
        <v>45537</v>
      </c>
      <c r="B54" t="s">
        <v>33</v>
      </c>
      <c r="C54">
        <v>1429</v>
      </c>
      <c r="D54">
        <v>182</v>
      </c>
      <c r="E54">
        <v>101332</v>
      </c>
      <c r="F54">
        <v>7.16</v>
      </c>
      <c r="G54">
        <v>37829</v>
      </c>
      <c r="H54" s="82">
        <v>1.2306082974775983E-2</v>
      </c>
      <c r="I54" s="83">
        <v>1247</v>
      </c>
    </row>
    <row r="55" spans="1:9" x14ac:dyDescent="0.3">
      <c r="A55" s="3">
        <v>45537</v>
      </c>
      <c r="B55" t="s">
        <v>43</v>
      </c>
      <c r="C55">
        <v>1520</v>
      </c>
      <c r="D55">
        <v>475</v>
      </c>
      <c r="E55">
        <v>496982</v>
      </c>
      <c r="F55">
        <v>6.41</v>
      </c>
      <c r="G55">
        <v>24384</v>
      </c>
      <c r="H55" s="82">
        <v>2.1026918479944948E-3</v>
      </c>
      <c r="I55" s="83">
        <v>1045</v>
      </c>
    </row>
    <row r="56" spans="1:9" x14ac:dyDescent="0.3">
      <c r="A56" s="3">
        <v>45537</v>
      </c>
      <c r="B56" t="s">
        <v>14</v>
      </c>
      <c r="C56">
        <v>557</v>
      </c>
      <c r="D56">
        <v>360</v>
      </c>
      <c r="E56">
        <v>318779</v>
      </c>
      <c r="F56">
        <v>8.02</v>
      </c>
      <c r="G56">
        <v>25797</v>
      </c>
      <c r="H56" s="82">
        <v>6.1798299135137512E-4</v>
      </c>
      <c r="I56" s="83">
        <v>197</v>
      </c>
    </row>
    <row r="57" spans="1:9" x14ac:dyDescent="0.3">
      <c r="A57" s="3">
        <v>45537</v>
      </c>
      <c r="B57" t="s">
        <v>27</v>
      </c>
      <c r="C57">
        <v>728</v>
      </c>
      <c r="D57">
        <v>395</v>
      </c>
      <c r="E57">
        <v>370971</v>
      </c>
      <c r="F57">
        <v>3.86</v>
      </c>
      <c r="G57">
        <v>12646</v>
      </c>
      <c r="H57" s="82">
        <v>8.9764429025449434E-4</v>
      </c>
      <c r="I57" s="83">
        <v>333</v>
      </c>
    </row>
    <row r="58" spans="1:9" x14ac:dyDescent="0.3">
      <c r="A58" s="3">
        <v>45544</v>
      </c>
      <c r="B58" t="s">
        <v>33</v>
      </c>
      <c r="C58">
        <v>1592</v>
      </c>
      <c r="D58">
        <v>20</v>
      </c>
      <c r="E58">
        <v>378054</v>
      </c>
      <c r="F58">
        <v>9.09</v>
      </c>
      <c r="G58">
        <v>26663</v>
      </c>
      <c r="H58" s="82">
        <v>4.1581361392816901E-3</v>
      </c>
      <c r="I58" s="83">
        <v>1572</v>
      </c>
    </row>
    <row r="59" spans="1:9" x14ac:dyDescent="0.3">
      <c r="A59" s="3">
        <v>45544</v>
      </c>
      <c r="B59" t="s">
        <v>43</v>
      </c>
      <c r="C59">
        <v>1842</v>
      </c>
      <c r="D59">
        <v>414</v>
      </c>
      <c r="E59">
        <v>307524</v>
      </c>
      <c r="F59">
        <v>1.76</v>
      </c>
      <c r="G59">
        <v>40478</v>
      </c>
      <c r="H59" s="82">
        <v>4.6435400163889647E-3</v>
      </c>
      <c r="I59" s="83">
        <v>1428</v>
      </c>
    </row>
    <row r="60" spans="1:9" x14ac:dyDescent="0.3">
      <c r="A60" s="3">
        <v>45544</v>
      </c>
      <c r="B60" t="s">
        <v>14</v>
      </c>
      <c r="C60">
        <v>751</v>
      </c>
      <c r="D60">
        <v>491</v>
      </c>
      <c r="E60">
        <v>434047</v>
      </c>
      <c r="F60">
        <v>9.24</v>
      </c>
      <c r="G60">
        <v>15476</v>
      </c>
      <c r="H60" s="82">
        <v>5.990134708914012E-4</v>
      </c>
      <c r="I60" s="83">
        <v>260</v>
      </c>
    </row>
    <row r="61" spans="1:9" x14ac:dyDescent="0.3">
      <c r="A61" s="3">
        <v>45544</v>
      </c>
      <c r="B61" t="s">
        <v>27</v>
      </c>
      <c r="C61">
        <v>1409</v>
      </c>
      <c r="D61">
        <v>309</v>
      </c>
      <c r="E61">
        <v>64583</v>
      </c>
      <c r="F61">
        <v>8.99</v>
      </c>
      <c r="G61">
        <v>10217</v>
      </c>
      <c r="H61" s="82">
        <v>1.7032345973398571E-2</v>
      </c>
      <c r="I61" s="83">
        <v>1100</v>
      </c>
    </row>
    <row r="62" spans="1:9" x14ac:dyDescent="0.3">
      <c r="A62" s="3">
        <v>45551</v>
      </c>
      <c r="B62" t="s">
        <v>33</v>
      </c>
      <c r="C62">
        <v>778</v>
      </c>
      <c r="D62">
        <v>401</v>
      </c>
      <c r="E62">
        <v>50793</v>
      </c>
      <c r="F62">
        <v>3.4</v>
      </c>
      <c r="G62">
        <v>21939</v>
      </c>
      <c r="H62" s="82">
        <v>7.4222825979957871E-3</v>
      </c>
      <c r="I62" s="83">
        <v>377</v>
      </c>
    </row>
    <row r="63" spans="1:9" x14ac:dyDescent="0.3">
      <c r="A63" s="3">
        <v>45551</v>
      </c>
      <c r="B63" t="s">
        <v>43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  <c r="H63" s="82">
        <v>2.0668041724136477E-4</v>
      </c>
      <c r="I63" s="83">
        <v>98</v>
      </c>
    </row>
    <row r="64" spans="1:9" x14ac:dyDescent="0.3">
      <c r="A64" s="3">
        <v>45551</v>
      </c>
      <c r="B64" t="s">
        <v>14</v>
      </c>
      <c r="C64">
        <v>1472</v>
      </c>
      <c r="D64">
        <v>347</v>
      </c>
      <c r="E64">
        <v>392355</v>
      </c>
      <c r="F64">
        <v>8.59</v>
      </c>
      <c r="G64">
        <v>30270</v>
      </c>
      <c r="H64" s="82">
        <v>2.8673012960201858E-3</v>
      </c>
      <c r="I64" s="83">
        <v>1125</v>
      </c>
    </row>
    <row r="65" spans="1:9" x14ac:dyDescent="0.3">
      <c r="A65" s="3">
        <v>45551</v>
      </c>
      <c r="B65" t="s">
        <v>27</v>
      </c>
      <c r="C65">
        <v>123</v>
      </c>
      <c r="D65">
        <v>155</v>
      </c>
      <c r="E65">
        <v>119934</v>
      </c>
      <c r="F65">
        <v>3.5</v>
      </c>
      <c r="G65">
        <v>5442</v>
      </c>
      <c r="H65" s="82">
        <v>-2.6681341404439108E-4</v>
      </c>
      <c r="I65" s="83">
        <v>-32</v>
      </c>
    </row>
    <row r="66" spans="1:9" x14ac:dyDescent="0.3">
      <c r="A66" s="3">
        <v>45558</v>
      </c>
      <c r="B66" t="s">
        <v>33</v>
      </c>
      <c r="C66">
        <v>817</v>
      </c>
      <c r="D66">
        <v>151</v>
      </c>
      <c r="E66">
        <v>422625</v>
      </c>
      <c r="F66">
        <v>2.36</v>
      </c>
      <c r="G66">
        <v>1083</v>
      </c>
      <c r="H66" s="82">
        <v>1.5758651286601596E-3</v>
      </c>
      <c r="I66" s="83">
        <v>666</v>
      </c>
    </row>
    <row r="67" spans="1:9" x14ac:dyDescent="0.3">
      <c r="A67" s="3">
        <v>45558</v>
      </c>
      <c r="B67" t="s">
        <v>43</v>
      </c>
      <c r="C67">
        <v>198</v>
      </c>
      <c r="D67">
        <v>217</v>
      </c>
      <c r="E67">
        <v>239753</v>
      </c>
      <c r="F67">
        <v>7.36</v>
      </c>
      <c r="G67">
        <v>11901</v>
      </c>
      <c r="H67" s="82">
        <v>-7.9248226299566635E-5</v>
      </c>
      <c r="I67" s="83">
        <v>-19</v>
      </c>
    </row>
    <row r="68" spans="1:9" x14ac:dyDescent="0.3">
      <c r="A68" s="3">
        <v>45558</v>
      </c>
      <c r="B68" t="s">
        <v>14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  <c r="H68" s="82">
        <v>6.2566104068286429E-3</v>
      </c>
      <c r="I68" s="83">
        <v>1680</v>
      </c>
    </row>
    <row r="69" spans="1:9" x14ac:dyDescent="0.3">
      <c r="A69" s="3">
        <v>45558</v>
      </c>
      <c r="B69" t="s">
        <v>27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  <c r="H69" s="82">
        <v>1.592351646960128E-2</v>
      </c>
      <c r="I69" s="83">
        <v>1006</v>
      </c>
    </row>
    <row r="70" spans="1:9" x14ac:dyDescent="0.3">
      <c r="A70" s="3">
        <v>45565</v>
      </c>
      <c r="B70" t="s">
        <v>33</v>
      </c>
      <c r="C70">
        <v>1433</v>
      </c>
      <c r="D70">
        <v>408</v>
      </c>
      <c r="E70">
        <v>370269</v>
      </c>
      <c r="F70">
        <v>3.3</v>
      </c>
      <c r="G70">
        <v>30575</v>
      </c>
      <c r="H70" s="82">
        <v>2.7682576721248606E-3</v>
      </c>
      <c r="I70" s="83">
        <v>1025</v>
      </c>
    </row>
    <row r="71" spans="1:9" x14ac:dyDescent="0.3">
      <c r="A71" s="3">
        <v>45565</v>
      </c>
      <c r="B71" t="s">
        <v>43</v>
      </c>
      <c r="C71">
        <v>250</v>
      </c>
      <c r="D71">
        <v>429</v>
      </c>
      <c r="E71">
        <v>453423</v>
      </c>
      <c r="F71">
        <v>1.77</v>
      </c>
      <c r="G71">
        <v>2315</v>
      </c>
      <c r="H71" s="82">
        <v>-3.9477485703195471E-4</v>
      </c>
      <c r="I71" s="83">
        <v>-179</v>
      </c>
    </row>
    <row r="72" spans="1:9" x14ac:dyDescent="0.3">
      <c r="A72" s="3">
        <v>45565</v>
      </c>
      <c r="B72" t="s">
        <v>14</v>
      </c>
      <c r="C72">
        <v>752</v>
      </c>
      <c r="D72">
        <v>153</v>
      </c>
      <c r="E72">
        <v>64906</v>
      </c>
      <c r="F72">
        <v>2.09</v>
      </c>
      <c r="G72">
        <v>12148</v>
      </c>
      <c r="H72" s="82">
        <v>9.2287307798970819E-3</v>
      </c>
      <c r="I72" s="83">
        <v>599</v>
      </c>
    </row>
    <row r="73" spans="1:9" x14ac:dyDescent="0.3">
      <c r="A73" s="3">
        <v>45565</v>
      </c>
      <c r="B73" t="s">
        <v>27</v>
      </c>
      <c r="C73">
        <v>1918</v>
      </c>
      <c r="D73">
        <v>212</v>
      </c>
      <c r="E73">
        <v>94360</v>
      </c>
      <c r="F73">
        <v>7.36</v>
      </c>
      <c r="G73">
        <v>36851</v>
      </c>
      <c r="H73" s="82">
        <v>1.8079694785926241E-2</v>
      </c>
      <c r="I73" s="83">
        <v>1706</v>
      </c>
    </row>
    <row r="74" spans="1:9" x14ac:dyDescent="0.3">
      <c r="A74" s="3">
        <v>45572</v>
      </c>
      <c r="B74" t="s">
        <v>33</v>
      </c>
      <c r="C74">
        <v>1939</v>
      </c>
      <c r="D74">
        <v>67</v>
      </c>
      <c r="E74">
        <v>187183</v>
      </c>
      <c r="F74">
        <v>6.25</v>
      </c>
      <c r="G74">
        <v>41215</v>
      </c>
      <c r="H74" s="82">
        <v>1.0000908202133741E-2</v>
      </c>
      <c r="I74" s="83">
        <v>1872</v>
      </c>
    </row>
    <row r="75" spans="1:9" x14ac:dyDescent="0.3">
      <c r="A75" s="3">
        <v>45572</v>
      </c>
      <c r="B75" t="s">
        <v>43</v>
      </c>
      <c r="C75">
        <v>1929</v>
      </c>
      <c r="D75">
        <v>267</v>
      </c>
      <c r="E75">
        <v>379363</v>
      </c>
      <c r="F75">
        <v>1.75</v>
      </c>
      <c r="G75">
        <v>43836</v>
      </c>
      <c r="H75" s="82">
        <v>4.3810281972675247E-3</v>
      </c>
      <c r="I75" s="83">
        <v>1662</v>
      </c>
    </row>
    <row r="76" spans="1:9" x14ac:dyDescent="0.3">
      <c r="A76" s="3">
        <v>45572</v>
      </c>
      <c r="B76" t="s">
        <v>14</v>
      </c>
      <c r="C76">
        <v>437</v>
      </c>
      <c r="D76">
        <v>330</v>
      </c>
      <c r="E76">
        <v>476486</v>
      </c>
      <c r="F76">
        <v>4.97</v>
      </c>
      <c r="G76">
        <v>4509</v>
      </c>
      <c r="H76" s="82">
        <v>2.2456063766826309E-4</v>
      </c>
      <c r="I76" s="83">
        <v>107</v>
      </c>
    </row>
    <row r="77" spans="1:9" x14ac:dyDescent="0.3">
      <c r="A77" s="3">
        <v>45572</v>
      </c>
      <c r="B77" t="s">
        <v>27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  <c r="H77" s="82">
        <v>1.0019784829366461E-3</v>
      </c>
      <c r="I77" s="83">
        <v>118</v>
      </c>
    </row>
    <row r="78" spans="1:9" x14ac:dyDescent="0.3">
      <c r="A78" s="3">
        <v>45579</v>
      </c>
      <c r="B78" t="s">
        <v>33</v>
      </c>
      <c r="C78">
        <v>1527</v>
      </c>
      <c r="D78">
        <v>303</v>
      </c>
      <c r="E78">
        <v>388555</v>
      </c>
      <c r="F78">
        <v>8.9</v>
      </c>
      <c r="G78">
        <v>36397</v>
      </c>
      <c r="H78" s="82">
        <v>3.1501331857780751E-3</v>
      </c>
      <c r="I78" s="83">
        <v>1224</v>
      </c>
    </row>
    <row r="79" spans="1:9" x14ac:dyDescent="0.3">
      <c r="A79" s="3">
        <v>45579</v>
      </c>
      <c r="B79" t="s">
        <v>43</v>
      </c>
      <c r="C79">
        <v>643</v>
      </c>
      <c r="D79">
        <v>358</v>
      </c>
      <c r="E79">
        <v>157599</v>
      </c>
      <c r="F79">
        <v>3.88</v>
      </c>
      <c r="G79">
        <v>7285</v>
      </c>
      <c r="H79" s="82">
        <v>1.8083871090552605E-3</v>
      </c>
      <c r="I79" s="83">
        <v>285</v>
      </c>
    </row>
    <row r="80" spans="1:9" x14ac:dyDescent="0.3">
      <c r="A80" s="3">
        <v>45579</v>
      </c>
      <c r="B80" t="s">
        <v>14</v>
      </c>
      <c r="C80">
        <v>201</v>
      </c>
      <c r="D80">
        <v>221</v>
      </c>
      <c r="E80">
        <v>309772</v>
      </c>
      <c r="F80">
        <v>5.9</v>
      </c>
      <c r="G80">
        <v>33174</v>
      </c>
      <c r="H80" s="82">
        <v>-6.456361452939582E-5</v>
      </c>
      <c r="I80" s="83">
        <v>-20</v>
      </c>
    </row>
    <row r="81" spans="1:9" x14ac:dyDescent="0.3">
      <c r="A81" s="3">
        <v>45579</v>
      </c>
      <c r="B81" t="s">
        <v>27</v>
      </c>
      <c r="C81">
        <v>414</v>
      </c>
      <c r="D81">
        <v>47</v>
      </c>
      <c r="E81">
        <v>199178</v>
      </c>
      <c r="F81">
        <v>1.53</v>
      </c>
      <c r="G81">
        <v>6742</v>
      </c>
      <c r="H81" s="82">
        <v>1.8425729749269497E-3</v>
      </c>
      <c r="I81" s="83">
        <v>367</v>
      </c>
    </row>
    <row r="82" spans="1:9" x14ac:dyDescent="0.3">
      <c r="A82" s="3">
        <v>45586</v>
      </c>
      <c r="B82" t="s">
        <v>33</v>
      </c>
      <c r="C82">
        <v>703</v>
      </c>
      <c r="D82">
        <v>441</v>
      </c>
      <c r="E82">
        <v>357089</v>
      </c>
      <c r="F82">
        <v>6.5</v>
      </c>
      <c r="G82">
        <v>32478</v>
      </c>
      <c r="H82" s="82">
        <v>7.3371064356504961E-4</v>
      </c>
      <c r="I82" s="83">
        <v>262</v>
      </c>
    </row>
    <row r="83" spans="1:9" x14ac:dyDescent="0.3">
      <c r="A83" s="3">
        <v>45586</v>
      </c>
      <c r="B83" t="s">
        <v>43</v>
      </c>
      <c r="C83">
        <v>508</v>
      </c>
      <c r="D83">
        <v>69</v>
      </c>
      <c r="E83">
        <v>23492</v>
      </c>
      <c r="F83">
        <v>3.16</v>
      </c>
      <c r="G83">
        <v>42824</v>
      </c>
      <c r="H83" s="82">
        <v>1.8687212668142345E-2</v>
      </c>
      <c r="I83" s="83">
        <v>439</v>
      </c>
    </row>
    <row r="84" spans="1:9" x14ac:dyDescent="0.3">
      <c r="A84" s="3">
        <v>45586</v>
      </c>
      <c r="B84" t="s">
        <v>14</v>
      </c>
      <c r="C84">
        <v>697</v>
      </c>
      <c r="D84">
        <v>61</v>
      </c>
      <c r="E84">
        <v>258287</v>
      </c>
      <c r="F84">
        <v>8.25</v>
      </c>
      <c r="G84">
        <v>21208</v>
      </c>
      <c r="H84" s="82">
        <v>2.4623771231227277E-3</v>
      </c>
      <c r="I84" s="83">
        <v>636</v>
      </c>
    </row>
    <row r="85" spans="1:9" x14ac:dyDescent="0.3">
      <c r="A85" s="3">
        <v>45586</v>
      </c>
      <c r="B85" t="s">
        <v>27</v>
      </c>
      <c r="C85">
        <v>1707</v>
      </c>
      <c r="D85">
        <v>223</v>
      </c>
      <c r="E85">
        <v>256910</v>
      </c>
      <c r="F85">
        <v>5.41</v>
      </c>
      <c r="G85">
        <v>44321</v>
      </c>
      <c r="H85" s="82">
        <v>5.7763419096181542E-3</v>
      </c>
      <c r="I85" s="83">
        <v>1484</v>
      </c>
    </row>
    <row r="86" spans="1:9" x14ac:dyDescent="0.3">
      <c r="A86" s="3">
        <v>45593</v>
      </c>
      <c r="B86" t="s">
        <v>33</v>
      </c>
      <c r="C86">
        <v>642</v>
      </c>
      <c r="D86">
        <v>66</v>
      </c>
      <c r="E86">
        <v>346522</v>
      </c>
      <c r="F86">
        <v>5.85</v>
      </c>
      <c r="G86">
        <v>13116</v>
      </c>
      <c r="H86" s="82">
        <v>1.6622321237901201E-3</v>
      </c>
      <c r="I86" s="83">
        <v>576</v>
      </c>
    </row>
    <row r="87" spans="1:9" x14ac:dyDescent="0.3">
      <c r="A87" s="3">
        <v>45593</v>
      </c>
      <c r="B87" t="s">
        <v>43</v>
      </c>
      <c r="C87">
        <v>859</v>
      </c>
      <c r="D87">
        <v>473</v>
      </c>
      <c r="E87">
        <v>209987</v>
      </c>
      <c r="F87">
        <v>4.46</v>
      </c>
      <c r="G87">
        <v>30214</v>
      </c>
      <c r="H87" s="82">
        <v>1.8382090319876945E-3</v>
      </c>
      <c r="I87" s="83">
        <v>386</v>
      </c>
    </row>
    <row r="88" spans="1:9" x14ac:dyDescent="0.3">
      <c r="A88" s="3">
        <v>45593</v>
      </c>
      <c r="B88" t="s">
        <v>14</v>
      </c>
      <c r="C88">
        <v>191</v>
      </c>
      <c r="D88">
        <v>154</v>
      </c>
      <c r="E88">
        <v>240550</v>
      </c>
      <c r="F88">
        <v>5.22</v>
      </c>
      <c r="G88">
        <v>15827</v>
      </c>
      <c r="H88" s="82">
        <v>1.5381417584701726E-4</v>
      </c>
      <c r="I88" s="83">
        <v>37</v>
      </c>
    </row>
    <row r="89" spans="1:9" x14ac:dyDescent="0.3">
      <c r="A89" s="3">
        <v>45593</v>
      </c>
      <c r="B89" t="s">
        <v>27</v>
      </c>
      <c r="C89">
        <v>1814</v>
      </c>
      <c r="D89">
        <v>157</v>
      </c>
      <c r="E89">
        <v>305827</v>
      </c>
      <c r="F89">
        <v>1.99</v>
      </c>
      <c r="G89">
        <v>46643</v>
      </c>
      <c r="H89" s="82">
        <v>5.4180958515762179E-3</v>
      </c>
      <c r="I89" s="83">
        <v>1657</v>
      </c>
    </row>
    <row r="90" spans="1:9" x14ac:dyDescent="0.3">
      <c r="A90" s="3">
        <v>45600</v>
      </c>
      <c r="B90" t="s">
        <v>33</v>
      </c>
      <c r="C90">
        <v>1466</v>
      </c>
      <c r="D90">
        <v>69</v>
      </c>
      <c r="E90">
        <v>54935</v>
      </c>
      <c r="F90">
        <v>6.85</v>
      </c>
      <c r="G90">
        <v>36484</v>
      </c>
      <c r="H90" s="82">
        <v>2.5430053699827069E-2</v>
      </c>
      <c r="I90" s="83">
        <v>1397</v>
      </c>
    </row>
    <row r="91" spans="1:9" x14ac:dyDescent="0.3">
      <c r="A91" s="3">
        <v>45600</v>
      </c>
      <c r="B91" t="s">
        <v>43</v>
      </c>
      <c r="C91">
        <v>947</v>
      </c>
      <c r="D91">
        <v>407</v>
      </c>
      <c r="E91">
        <v>319186</v>
      </c>
      <c r="F91">
        <v>3.32</v>
      </c>
      <c r="G91">
        <v>4996</v>
      </c>
      <c r="H91" s="82">
        <v>1.6918035252172713E-3</v>
      </c>
      <c r="I91" s="83">
        <v>540</v>
      </c>
    </row>
    <row r="92" spans="1:9" x14ac:dyDescent="0.3">
      <c r="A92" s="3">
        <v>45600</v>
      </c>
      <c r="B92" t="s">
        <v>14</v>
      </c>
      <c r="C92">
        <v>1821</v>
      </c>
      <c r="D92">
        <v>218</v>
      </c>
      <c r="E92">
        <v>439080</v>
      </c>
      <c r="F92">
        <v>5.68</v>
      </c>
      <c r="G92">
        <v>36095</v>
      </c>
      <c r="H92" s="82">
        <v>3.6508153411678964E-3</v>
      </c>
      <c r="I92" s="83">
        <v>1603</v>
      </c>
    </row>
    <row r="93" spans="1:9" x14ac:dyDescent="0.3">
      <c r="A93" s="3">
        <v>45600</v>
      </c>
      <c r="B93" t="s">
        <v>27</v>
      </c>
      <c r="C93">
        <v>1507</v>
      </c>
      <c r="D93">
        <v>463</v>
      </c>
      <c r="E93">
        <v>258944</v>
      </c>
      <c r="F93">
        <v>6.08</v>
      </c>
      <c r="G93">
        <v>16443</v>
      </c>
      <c r="H93" s="82">
        <v>4.0317597627286209E-3</v>
      </c>
      <c r="I93" s="83">
        <v>1044</v>
      </c>
    </row>
    <row r="94" spans="1:9" x14ac:dyDescent="0.3">
      <c r="A94" s="3">
        <v>45607</v>
      </c>
      <c r="B94" t="s">
        <v>33</v>
      </c>
      <c r="C94">
        <v>1075</v>
      </c>
      <c r="D94">
        <v>173</v>
      </c>
      <c r="E94">
        <v>51395</v>
      </c>
      <c r="F94">
        <v>4.66</v>
      </c>
      <c r="G94">
        <v>47812</v>
      </c>
      <c r="H94" s="82">
        <v>1.7550345364335054E-2</v>
      </c>
      <c r="I94" s="83">
        <v>902</v>
      </c>
    </row>
    <row r="95" spans="1:9" x14ac:dyDescent="0.3">
      <c r="A95" s="3">
        <v>45607</v>
      </c>
      <c r="B95" t="s">
        <v>43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  <c r="H95" s="82">
        <v>-3.4250669665215861E-4</v>
      </c>
      <c r="I95" s="83">
        <v>-106</v>
      </c>
    </row>
    <row r="96" spans="1:9" x14ac:dyDescent="0.3">
      <c r="A96" s="3">
        <v>45607</v>
      </c>
      <c r="B96" t="s">
        <v>14</v>
      </c>
      <c r="C96">
        <v>1487</v>
      </c>
      <c r="D96">
        <v>337</v>
      </c>
      <c r="E96">
        <v>87305</v>
      </c>
      <c r="F96">
        <v>2.46</v>
      </c>
      <c r="G96">
        <v>30428</v>
      </c>
      <c r="H96" s="82">
        <v>1.3172212358971423E-2</v>
      </c>
      <c r="I96" s="83">
        <v>1150</v>
      </c>
    </row>
    <row r="97" spans="1:9" x14ac:dyDescent="0.3">
      <c r="A97" s="3">
        <v>45607</v>
      </c>
      <c r="B97" t="s">
        <v>27</v>
      </c>
      <c r="C97">
        <v>454</v>
      </c>
      <c r="D97">
        <v>105</v>
      </c>
      <c r="E97">
        <v>121091</v>
      </c>
      <c r="F97">
        <v>7.97</v>
      </c>
      <c r="G97">
        <v>9269</v>
      </c>
      <c r="H97" s="82">
        <v>2.8821299683708945E-3</v>
      </c>
      <c r="I97" s="83">
        <v>349</v>
      </c>
    </row>
    <row r="98" spans="1:9" x14ac:dyDescent="0.3">
      <c r="A98" s="3">
        <v>45614</v>
      </c>
      <c r="B98" t="s">
        <v>33</v>
      </c>
      <c r="C98">
        <v>187</v>
      </c>
      <c r="D98">
        <v>236</v>
      </c>
      <c r="E98">
        <v>51087</v>
      </c>
      <c r="F98">
        <v>9.41</v>
      </c>
      <c r="G98">
        <v>29533</v>
      </c>
      <c r="H98" s="82">
        <v>-9.5914811987394058E-4</v>
      </c>
      <c r="I98" s="83">
        <v>-49</v>
      </c>
    </row>
    <row r="99" spans="1:9" x14ac:dyDescent="0.3">
      <c r="A99" s="3">
        <v>45614</v>
      </c>
      <c r="B99" t="s">
        <v>43</v>
      </c>
      <c r="C99">
        <v>513</v>
      </c>
      <c r="D99">
        <v>441</v>
      </c>
      <c r="E99">
        <v>338847</v>
      </c>
      <c r="F99">
        <v>2.68</v>
      </c>
      <c r="G99">
        <v>39997</v>
      </c>
      <c r="H99" s="82">
        <v>2.1248528096751631E-4</v>
      </c>
      <c r="I99" s="83">
        <v>72</v>
      </c>
    </row>
    <row r="100" spans="1:9" x14ac:dyDescent="0.3">
      <c r="A100" s="3">
        <v>45614</v>
      </c>
      <c r="B100" t="s">
        <v>14</v>
      </c>
      <c r="C100">
        <v>628</v>
      </c>
      <c r="D100">
        <v>183</v>
      </c>
      <c r="E100">
        <v>487523</v>
      </c>
      <c r="F100">
        <v>7.32</v>
      </c>
      <c r="G100">
        <v>5391</v>
      </c>
      <c r="H100" s="82">
        <v>9.1277744844858602E-4</v>
      </c>
      <c r="I100" s="83">
        <v>445</v>
      </c>
    </row>
    <row r="101" spans="1:9" x14ac:dyDescent="0.3">
      <c r="A101" s="3">
        <v>45614</v>
      </c>
      <c r="B101" t="s">
        <v>27</v>
      </c>
      <c r="C101">
        <v>278</v>
      </c>
      <c r="D101">
        <v>218</v>
      </c>
      <c r="E101">
        <v>301695</v>
      </c>
      <c r="F101">
        <v>4.68</v>
      </c>
      <c r="G101">
        <v>22373</v>
      </c>
      <c r="H101" s="82">
        <v>1.9887634863023914E-4</v>
      </c>
      <c r="I101" s="83">
        <v>60</v>
      </c>
    </row>
    <row r="102" spans="1:9" x14ac:dyDescent="0.3">
      <c r="A102" s="3">
        <v>45621</v>
      </c>
      <c r="B102" t="s">
        <v>33</v>
      </c>
      <c r="C102">
        <v>1854</v>
      </c>
      <c r="D102">
        <v>161</v>
      </c>
      <c r="E102">
        <v>282466</v>
      </c>
      <c r="F102">
        <v>5.17</v>
      </c>
      <c r="G102">
        <v>1810</v>
      </c>
      <c r="H102" s="82">
        <v>5.9936417126309005E-3</v>
      </c>
      <c r="I102" s="83">
        <v>1693</v>
      </c>
    </row>
    <row r="103" spans="1:9" x14ac:dyDescent="0.3">
      <c r="A103" s="3">
        <v>45621</v>
      </c>
      <c r="B103" t="s">
        <v>43</v>
      </c>
      <c r="C103">
        <v>1710</v>
      </c>
      <c r="D103">
        <v>378</v>
      </c>
      <c r="E103">
        <v>336661</v>
      </c>
      <c r="F103">
        <v>6.2</v>
      </c>
      <c r="G103">
        <v>28498</v>
      </c>
      <c r="H103" s="82">
        <v>3.9565022381564839E-3</v>
      </c>
      <c r="I103" s="83">
        <v>1332</v>
      </c>
    </row>
    <row r="104" spans="1:9" x14ac:dyDescent="0.3">
      <c r="A104" s="3">
        <v>45621</v>
      </c>
      <c r="B104" t="s">
        <v>14</v>
      </c>
      <c r="C104">
        <v>330</v>
      </c>
      <c r="D104">
        <v>232</v>
      </c>
      <c r="E104">
        <v>88455</v>
      </c>
      <c r="F104">
        <v>2.69</v>
      </c>
      <c r="G104">
        <v>39530</v>
      </c>
      <c r="H104" s="82">
        <v>1.1079079758069075E-3</v>
      </c>
      <c r="I104" s="83">
        <v>98</v>
      </c>
    </row>
    <row r="105" spans="1:9" x14ac:dyDescent="0.3">
      <c r="A105" s="3">
        <v>45621</v>
      </c>
      <c r="B105" t="s">
        <v>27</v>
      </c>
      <c r="C105">
        <v>1293</v>
      </c>
      <c r="D105">
        <v>408</v>
      </c>
      <c r="E105">
        <v>62535</v>
      </c>
      <c r="F105">
        <v>8.9</v>
      </c>
      <c r="G105">
        <v>37876</v>
      </c>
      <c r="H105" s="82">
        <v>1.4152074838090669E-2</v>
      </c>
      <c r="I105" s="83">
        <v>885</v>
      </c>
    </row>
    <row r="106" spans="1:9" x14ac:dyDescent="0.3">
      <c r="A106" s="3">
        <v>45628</v>
      </c>
      <c r="B106" t="s">
        <v>33</v>
      </c>
      <c r="C106">
        <v>1696</v>
      </c>
      <c r="D106">
        <v>71</v>
      </c>
      <c r="E106">
        <v>421957</v>
      </c>
      <c r="F106">
        <v>3.79</v>
      </c>
      <c r="G106">
        <v>36103</v>
      </c>
      <c r="H106" s="82">
        <v>3.8511033114748661E-3</v>
      </c>
      <c r="I106" s="83">
        <v>1625</v>
      </c>
    </row>
    <row r="107" spans="1:9" x14ac:dyDescent="0.3">
      <c r="A107" s="3">
        <v>45628</v>
      </c>
      <c r="B107" t="s">
        <v>43</v>
      </c>
      <c r="C107">
        <v>1902</v>
      </c>
      <c r="D107">
        <v>196</v>
      </c>
      <c r="E107">
        <v>470269</v>
      </c>
      <c r="F107">
        <v>4.79</v>
      </c>
      <c r="G107">
        <v>26103</v>
      </c>
      <c r="H107" s="82">
        <v>3.6277109484146308E-3</v>
      </c>
      <c r="I107" s="83">
        <v>1706</v>
      </c>
    </row>
    <row r="108" spans="1:9" x14ac:dyDescent="0.3">
      <c r="A108" s="3">
        <v>45628</v>
      </c>
      <c r="B108" t="s">
        <v>14</v>
      </c>
      <c r="C108">
        <v>1441</v>
      </c>
      <c r="D108">
        <v>268</v>
      </c>
      <c r="E108">
        <v>309904</v>
      </c>
      <c r="F108">
        <v>6.37</v>
      </c>
      <c r="G108">
        <v>3455</v>
      </c>
      <c r="H108" s="82">
        <v>3.7850431101244257E-3</v>
      </c>
      <c r="I108" s="83">
        <v>1173</v>
      </c>
    </row>
    <row r="109" spans="1:9" x14ac:dyDescent="0.3">
      <c r="A109" s="3">
        <v>45628</v>
      </c>
      <c r="B109" t="s">
        <v>27</v>
      </c>
      <c r="C109">
        <v>452</v>
      </c>
      <c r="D109">
        <v>161</v>
      </c>
      <c r="E109">
        <v>221274</v>
      </c>
      <c r="F109">
        <v>2.65</v>
      </c>
      <c r="G109">
        <v>40888</v>
      </c>
      <c r="H109" s="82">
        <v>1.3151115811166245E-3</v>
      </c>
      <c r="I109" s="83">
        <v>291</v>
      </c>
    </row>
    <row r="110" spans="1:9" x14ac:dyDescent="0.3">
      <c r="A110" s="3">
        <v>45635</v>
      </c>
      <c r="B110" t="s">
        <v>33</v>
      </c>
      <c r="C110">
        <v>1494</v>
      </c>
      <c r="D110">
        <v>375</v>
      </c>
      <c r="E110">
        <v>220616</v>
      </c>
      <c r="F110">
        <v>1.81</v>
      </c>
      <c r="G110">
        <v>22724</v>
      </c>
      <c r="H110" s="82">
        <v>5.0721615839286359E-3</v>
      </c>
      <c r="I110" s="83">
        <v>1119</v>
      </c>
    </row>
    <row r="111" spans="1:9" x14ac:dyDescent="0.3">
      <c r="A111" s="3">
        <v>45635</v>
      </c>
      <c r="B111" t="s">
        <v>43</v>
      </c>
      <c r="C111">
        <v>1514</v>
      </c>
      <c r="D111">
        <v>141</v>
      </c>
      <c r="E111">
        <v>35842</v>
      </c>
      <c r="F111">
        <v>7.47</v>
      </c>
      <c r="G111">
        <v>18601</v>
      </c>
      <c r="H111" s="82">
        <v>3.8307014117515761E-2</v>
      </c>
      <c r="I111" s="83">
        <v>1373</v>
      </c>
    </row>
    <row r="112" spans="1:9" x14ac:dyDescent="0.3">
      <c r="A112" s="3">
        <v>45635</v>
      </c>
      <c r="B112" t="s">
        <v>14</v>
      </c>
      <c r="C112">
        <v>1937</v>
      </c>
      <c r="D112">
        <v>210</v>
      </c>
      <c r="E112">
        <v>20607</v>
      </c>
      <c r="F112">
        <v>4.2</v>
      </c>
      <c r="G112">
        <v>20861</v>
      </c>
      <c r="H112" s="82">
        <v>8.3806473528412681E-2</v>
      </c>
      <c r="I112" s="83">
        <v>1727</v>
      </c>
    </row>
    <row r="113" spans="1:9" x14ac:dyDescent="0.3">
      <c r="A113" s="3">
        <v>45635</v>
      </c>
      <c r="B113" t="s">
        <v>27</v>
      </c>
      <c r="C113">
        <v>736</v>
      </c>
      <c r="D113">
        <v>163</v>
      </c>
      <c r="E113">
        <v>451894</v>
      </c>
      <c r="F113">
        <v>5.43</v>
      </c>
      <c r="G113">
        <v>46625</v>
      </c>
      <c r="H113" s="82">
        <v>1.2679964770499277E-3</v>
      </c>
      <c r="I113" s="83">
        <v>573</v>
      </c>
    </row>
    <row r="114" spans="1:9" x14ac:dyDescent="0.3">
      <c r="A114" s="3">
        <v>45642</v>
      </c>
      <c r="B114" t="s">
        <v>33</v>
      </c>
      <c r="C114">
        <v>1502</v>
      </c>
      <c r="D114">
        <v>70</v>
      </c>
      <c r="E114">
        <v>465553</v>
      </c>
      <c r="F114">
        <v>3.32</v>
      </c>
      <c r="G114">
        <v>20692</v>
      </c>
      <c r="H114" s="82">
        <v>3.0759118725472716E-3</v>
      </c>
      <c r="I114" s="83">
        <v>1432</v>
      </c>
    </row>
    <row r="115" spans="1:9" x14ac:dyDescent="0.3">
      <c r="A115" s="3">
        <v>45642</v>
      </c>
      <c r="B115" t="s">
        <v>43</v>
      </c>
      <c r="C115">
        <v>1623</v>
      </c>
      <c r="D115">
        <v>246</v>
      </c>
      <c r="E115">
        <v>415815</v>
      </c>
      <c r="F115">
        <v>8.11</v>
      </c>
      <c r="G115">
        <v>18656</v>
      </c>
      <c r="H115" s="82">
        <v>3.311568846722701E-3</v>
      </c>
      <c r="I115" s="83">
        <v>1377</v>
      </c>
    </row>
    <row r="116" spans="1:9" x14ac:dyDescent="0.3">
      <c r="A116" s="3">
        <v>45642</v>
      </c>
      <c r="B116" t="s">
        <v>14</v>
      </c>
      <c r="C116">
        <v>1592</v>
      </c>
      <c r="D116">
        <v>233</v>
      </c>
      <c r="E116">
        <v>327183</v>
      </c>
      <c r="F116">
        <v>6.66</v>
      </c>
      <c r="G116">
        <v>13316</v>
      </c>
      <c r="H116" s="82">
        <v>4.1536387893013997E-3</v>
      </c>
      <c r="I116" s="83">
        <v>1359</v>
      </c>
    </row>
    <row r="117" spans="1:9" x14ac:dyDescent="0.3">
      <c r="A117" s="3">
        <v>45642</v>
      </c>
      <c r="B117" t="s">
        <v>27</v>
      </c>
      <c r="C117">
        <v>1004</v>
      </c>
      <c r="D117">
        <v>128</v>
      </c>
      <c r="E117">
        <v>488901</v>
      </c>
      <c r="F117">
        <v>8.09</v>
      </c>
      <c r="G117">
        <v>49558</v>
      </c>
      <c r="H117" s="82">
        <v>1.7917737946946315E-3</v>
      </c>
      <c r="I117" s="83">
        <v>876</v>
      </c>
    </row>
    <row r="118" spans="1:9" x14ac:dyDescent="0.3">
      <c r="A118" s="3">
        <v>45649</v>
      </c>
      <c r="B118" t="s">
        <v>33</v>
      </c>
      <c r="C118">
        <v>1092</v>
      </c>
      <c r="D118">
        <v>408</v>
      </c>
      <c r="E118">
        <v>280795</v>
      </c>
      <c r="F118">
        <v>8.44</v>
      </c>
      <c r="G118">
        <v>4683</v>
      </c>
      <c r="H118" s="82">
        <v>2.4359408109118751E-3</v>
      </c>
      <c r="I118" s="83">
        <v>684</v>
      </c>
    </row>
    <row r="119" spans="1:9" x14ac:dyDescent="0.3">
      <c r="A119" s="3">
        <v>45649</v>
      </c>
      <c r="B119" t="s">
        <v>43</v>
      </c>
      <c r="C119">
        <v>1155</v>
      </c>
      <c r="D119">
        <v>425</v>
      </c>
      <c r="E119">
        <v>93347</v>
      </c>
      <c r="F119">
        <v>2.02</v>
      </c>
      <c r="G119">
        <v>47502</v>
      </c>
      <c r="H119" s="82">
        <v>7.8202834584935772E-3</v>
      </c>
      <c r="I119" s="83">
        <v>730</v>
      </c>
    </row>
    <row r="120" spans="1:9" x14ac:dyDescent="0.3">
      <c r="A120" s="3">
        <v>45649</v>
      </c>
      <c r="B120" t="s">
        <v>14</v>
      </c>
      <c r="C120">
        <v>1137</v>
      </c>
      <c r="D120">
        <v>226</v>
      </c>
      <c r="E120">
        <v>81119</v>
      </c>
      <c r="F120">
        <v>7.74</v>
      </c>
      <c r="G120">
        <v>35359</v>
      </c>
      <c r="H120" s="82">
        <v>1.1230414576116569E-2</v>
      </c>
      <c r="I120" s="83">
        <v>911</v>
      </c>
    </row>
    <row r="121" spans="1:9" x14ac:dyDescent="0.3">
      <c r="A121" s="3">
        <v>45649</v>
      </c>
      <c r="B121" t="s">
        <v>27</v>
      </c>
      <c r="C121">
        <v>1900</v>
      </c>
      <c r="D121">
        <v>311</v>
      </c>
      <c r="E121">
        <v>25177</v>
      </c>
      <c r="F121">
        <v>2.89</v>
      </c>
      <c r="G121">
        <v>14154</v>
      </c>
      <c r="H121" s="82">
        <v>6.3113158835445049E-2</v>
      </c>
      <c r="I121" s="83">
        <v>1589</v>
      </c>
    </row>
    <row r="122" spans="1:9" x14ac:dyDescent="0.3">
      <c r="A122" s="3">
        <v>45656</v>
      </c>
      <c r="B122" t="s">
        <v>33</v>
      </c>
      <c r="C122">
        <v>1814</v>
      </c>
      <c r="D122">
        <v>49</v>
      </c>
      <c r="E122">
        <v>140804</v>
      </c>
      <c r="F122">
        <v>1.76</v>
      </c>
      <c r="G122">
        <v>4313</v>
      </c>
      <c r="H122" s="82">
        <v>1.253515525127127E-2</v>
      </c>
      <c r="I122" s="83">
        <v>1765</v>
      </c>
    </row>
    <row r="123" spans="1:9" x14ac:dyDescent="0.3">
      <c r="A123" s="3">
        <v>45656</v>
      </c>
      <c r="B123" t="s">
        <v>43</v>
      </c>
      <c r="C123">
        <v>1980</v>
      </c>
      <c r="D123">
        <v>204</v>
      </c>
      <c r="E123">
        <v>379431</v>
      </c>
      <c r="F123">
        <v>3.09</v>
      </c>
      <c r="G123">
        <v>25140</v>
      </c>
      <c r="H123" s="82">
        <v>4.6806929323118035E-3</v>
      </c>
      <c r="I123" s="83">
        <v>1776</v>
      </c>
    </row>
    <row r="124" spans="1:9" x14ac:dyDescent="0.3">
      <c r="A124" s="3">
        <v>45656</v>
      </c>
      <c r="B124" t="s">
        <v>14</v>
      </c>
      <c r="C124">
        <v>1786</v>
      </c>
      <c r="D124">
        <v>257</v>
      </c>
      <c r="E124">
        <v>274831</v>
      </c>
      <c r="F124">
        <v>4.68</v>
      </c>
      <c r="G124">
        <v>9118</v>
      </c>
      <c r="H124" s="82">
        <v>5.5634189738421064E-3</v>
      </c>
      <c r="I124" s="83">
        <v>1529</v>
      </c>
    </row>
    <row r="125" spans="1:9" x14ac:dyDescent="0.3">
      <c r="A125" s="3">
        <v>45656</v>
      </c>
      <c r="B125" t="s">
        <v>27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  <c r="H125" s="82">
        <v>1.0669005078738719E-2</v>
      </c>
      <c r="I125" s="83">
        <v>1460</v>
      </c>
    </row>
    <row r="126" spans="1:9" x14ac:dyDescent="0.3">
      <c r="A126" s="3">
        <v>45663</v>
      </c>
      <c r="B126" t="s">
        <v>33</v>
      </c>
      <c r="C126">
        <v>1013</v>
      </c>
      <c r="D126">
        <v>110</v>
      </c>
      <c r="E126">
        <v>466382</v>
      </c>
      <c r="F126">
        <v>5.3</v>
      </c>
      <c r="G126">
        <v>37132</v>
      </c>
      <c r="H126" s="82">
        <v>1.9361810704529763E-3</v>
      </c>
      <c r="I126" s="83">
        <v>903</v>
      </c>
    </row>
    <row r="127" spans="1:9" x14ac:dyDescent="0.3">
      <c r="A127" s="3">
        <v>45663</v>
      </c>
      <c r="B127" t="s">
        <v>43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  <c r="H127" s="82">
        <v>6.4766839378238338E-3</v>
      </c>
      <c r="I127" s="83">
        <v>620</v>
      </c>
    </row>
    <row r="128" spans="1:9" x14ac:dyDescent="0.3">
      <c r="A128" s="3">
        <v>45663</v>
      </c>
      <c r="B128" t="s">
        <v>14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  <c r="H128" s="82">
        <v>3.2008104408927781E-3</v>
      </c>
      <c r="I128" s="83">
        <v>1188</v>
      </c>
    </row>
    <row r="129" spans="1:9" x14ac:dyDescent="0.3">
      <c r="A129" s="3">
        <v>45663</v>
      </c>
      <c r="B129" t="s">
        <v>27</v>
      </c>
      <c r="C129">
        <v>891</v>
      </c>
      <c r="D129">
        <v>45</v>
      </c>
      <c r="E129">
        <v>95410</v>
      </c>
      <c r="F129">
        <v>8.33</v>
      </c>
      <c r="G129">
        <v>15045</v>
      </c>
      <c r="H129" s="82">
        <v>8.8669950738916262E-3</v>
      </c>
      <c r="I129" s="83">
        <v>846</v>
      </c>
    </row>
    <row r="130" spans="1:9" x14ac:dyDescent="0.3">
      <c r="A130" s="3">
        <v>45670</v>
      </c>
      <c r="B130" t="s">
        <v>33</v>
      </c>
      <c r="C130">
        <v>1855</v>
      </c>
      <c r="D130">
        <v>133</v>
      </c>
      <c r="E130">
        <v>349413</v>
      </c>
      <c r="F130">
        <v>3.3</v>
      </c>
      <c r="G130">
        <v>14548</v>
      </c>
      <c r="H130" s="82">
        <v>4.9282654051223049E-3</v>
      </c>
      <c r="I130" s="83">
        <v>1722</v>
      </c>
    </row>
    <row r="131" spans="1:9" x14ac:dyDescent="0.3">
      <c r="A131" s="3">
        <v>45670</v>
      </c>
      <c r="B131" t="s">
        <v>43</v>
      </c>
      <c r="C131">
        <v>651</v>
      </c>
      <c r="D131">
        <v>353</v>
      </c>
      <c r="E131">
        <v>224699</v>
      </c>
      <c r="F131">
        <v>5.61</v>
      </c>
      <c r="G131">
        <v>45708</v>
      </c>
      <c r="H131" s="82">
        <v>1.3262186302564765E-3</v>
      </c>
      <c r="I131" s="83">
        <v>298</v>
      </c>
    </row>
    <row r="132" spans="1:9" x14ac:dyDescent="0.3">
      <c r="A132" s="3">
        <v>45670</v>
      </c>
      <c r="B132" t="s">
        <v>14</v>
      </c>
      <c r="C132">
        <v>118</v>
      </c>
      <c r="D132">
        <v>262</v>
      </c>
      <c r="E132">
        <v>487896</v>
      </c>
      <c r="F132">
        <v>2.56</v>
      </c>
      <c r="G132">
        <v>12350</v>
      </c>
      <c r="H132" s="82">
        <v>-2.9514486693885583E-4</v>
      </c>
      <c r="I132" s="83">
        <v>-144</v>
      </c>
    </row>
    <row r="133" spans="1:9" x14ac:dyDescent="0.3">
      <c r="A133" s="3">
        <v>45670</v>
      </c>
      <c r="B133" t="s">
        <v>27</v>
      </c>
      <c r="C133">
        <v>1331</v>
      </c>
      <c r="D133">
        <v>430</v>
      </c>
      <c r="E133">
        <v>14437</v>
      </c>
      <c r="F133">
        <v>3.29</v>
      </c>
      <c r="G133">
        <v>40868</v>
      </c>
      <c r="H133" s="82">
        <v>6.2409087760615087E-2</v>
      </c>
      <c r="I133" s="83">
        <v>901</v>
      </c>
    </row>
    <row r="134" spans="1:9" x14ac:dyDescent="0.3">
      <c r="A134" s="3">
        <v>45677</v>
      </c>
      <c r="B134" t="s">
        <v>33</v>
      </c>
      <c r="C134">
        <v>1748</v>
      </c>
      <c r="D134">
        <v>176</v>
      </c>
      <c r="E134">
        <v>383681</v>
      </c>
      <c r="F134">
        <v>9.24</v>
      </c>
      <c r="G134">
        <v>43122</v>
      </c>
      <c r="H134" s="82">
        <v>4.0971536250166149E-3</v>
      </c>
      <c r="I134" s="83">
        <v>1572</v>
      </c>
    </row>
    <row r="135" spans="1:9" x14ac:dyDescent="0.3">
      <c r="A135" s="3">
        <v>45677</v>
      </c>
      <c r="B135" t="s">
        <v>43</v>
      </c>
      <c r="C135">
        <v>663</v>
      </c>
      <c r="D135">
        <v>236</v>
      </c>
      <c r="E135">
        <v>479490</v>
      </c>
      <c r="F135">
        <v>4.51</v>
      </c>
      <c r="G135">
        <v>23853</v>
      </c>
      <c r="H135" s="82">
        <v>8.9052952094934197E-4</v>
      </c>
      <c r="I135" s="83">
        <v>427</v>
      </c>
    </row>
    <row r="136" spans="1:9" x14ac:dyDescent="0.3">
      <c r="A136" s="3">
        <v>45677</v>
      </c>
      <c r="B136" t="s">
        <v>14</v>
      </c>
      <c r="C136">
        <v>1040</v>
      </c>
      <c r="D136">
        <v>149</v>
      </c>
      <c r="E136">
        <v>124404</v>
      </c>
      <c r="F136">
        <v>5.23</v>
      </c>
      <c r="G136">
        <v>45380</v>
      </c>
      <c r="H136" s="82">
        <v>7.1621491270377159E-3</v>
      </c>
      <c r="I136" s="83">
        <v>891</v>
      </c>
    </row>
    <row r="137" spans="1:9" x14ac:dyDescent="0.3">
      <c r="A137" s="3">
        <v>45677</v>
      </c>
      <c r="B137" t="s">
        <v>27</v>
      </c>
      <c r="C137">
        <v>1166</v>
      </c>
      <c r="D137">
        <v>442</v>
      </c>
      <c r="E137">
        <v>336949</v>
      </c>
      <c r="F137">
        <v>4.68</v>
      </c>
      <c r="G137">
        <v>7705</v>
      </c>
      <c r="H137" s="82">
        <v>2.1486931256659019E-3</v>
      </c>
      <c r="I137" s="83">
        <v>724</v>
      </c>
    </row>
    <row r="138" spans="1:9" x14ac:dyDescent="0.3">
      <c r="A138" s="3">
        <v>45684</v>
      </c>
      <c r="B138" t="s">
        <v>33</v>
      </c>
      <c r="C138">
        <v>115</v>
      </c>
      <c r="D138">
        <v>281</v>
      </c>
      <c r="E138">
        <v>357265</v>
      </c>
      <c r="F138">
        <v>9.23</v>
      </c>
      <c r="G138">
        <v>25525</v>
      </c>
      <c r="H138" s="82">
        <v>-4.6464109274628077E-4</v>
      </c>
      <c r="I138" s="83">
        <v>-166</v>
      </c>
    </row>
    <row r="139" spans="1:9" x14ac:dyDescent="0.3">
      <c r="A139" s="3">
        <v>45684</v>
      </c>
      <c r="B139" t="s">
        <v>43</v>
      </c>
      <c r="C139">
        <v>1249</v>
      </c>
      <c r="D139">
        <v>351</v>
      </c>
      <c r="E139">
        <v>321307</v>
      </c>
      <c r="F139">
        <v>6.37</v>
      </c>
      <c r="G139">
        <v>20560</v>
      </c>
      <c r="H139" s="82">
        <v>2.7948348464241365E-3</v>
      </c>
      <c r="I139" s="83">
        <v>898</v>
      </c>
    </row>
    <row r="140" spans="1:9" x14ac:dyDescent="0.3">
      <c r="A140" s="3">
        <v>45684</v>
      </c>
      <c r="B140" t="s">
        <v>14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  <c r="H140" s="82">
        <v>5.4309533874905263E-3</v>
      </c>
      <c r="I140" s="83">
        <v>1426</v>
      </c>
    </row>
    <row r="141" spans="1:9" x14ac:dyDescent="0.3">
      <c r="A141" s="3">
        <v>45684</v>
      </c>
      <c r="B141" t="s">
        <v>27</v>
      </c>
      <c r="C141">
        <v>1411</v>
      </c>
      <c r="D141">
        <v>186</v>
      </c>
      <c r="E141">
        <v>461669</v>
      </c>
      <c r="F141">
        <v>3.72</v>
      </c>
      <c r="G141">
        <v>43999</v>
      </c>
      <c r="H141" s="82">
        <v>2.6534161921203288E-3</v>
      </c>
      <c r="I141" s="83">
        <v>1225</v>
      </c>
    </row>
    <row r="142" spans="1:9" x14ac:dyDescent="0.3">
      <c r="A142" s="3">
        <v>45691</v>
      </c>
      <c r="B142" t="s">
        <v>33</v>
      </c>
      <c r="C142">
        <v>1556</v>
      </c>
      <c r="D142">
        <v>476</v>
      </c>
      <c r="E142">
        <v>351556</v>
      </c>
      <c r="F142">
        <v>3.89</v>
      </c>
      <c r="G142">
        <v>10825</v>
      </c>
      <c r="H142" s="82">
        <v>3.0720567989168156E-3</v>
      </c>
      <c r="I142" s="83">
        <v>1080</v>
      </c>
    </row>
    <row r="143" spans="1:9" x14ac:dyDescent="0.3">
      <c r="A143" s="3">
        <v>45691</v>
      </c>
      <c r="B143" t="s">
        <v>43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  <c r="H143" s="82">
        <v>5.5005257855530306E-3</v>
      </c>
      <c r="I143" s="83">
        <v>748</v>
      </c>
    </row>
    <row r="144" spans="1:9" x14ac:dyDescent="0.3">
      <c r="A144" s="3">
        <v>45691</v>
      </c>
      <c r="B144" t="s">
        <v>14</v>
      </c>
      <c r="C144">
        <v>927</v>
      </c>
      <c r="D144">
        <v>358</v>
      </c>
      <c r="E144">
        <v>177554</v>
      </c>
      <c r="F144">
        <v>6.95</v>
      </c>
      <c r="G144">
        <v>48270</v>
      </c>
      <c r="H144" s="82">
        <v>3.2046588643454949E-3</v>
      </c>
      <c r="I144" s="83">
        <v>569</v>
      </c>
    </row>
    <row r="145" spans="1:9" x14ac:dyDescent="0.3">
      <c r="A145" s="3">
        <v>45691</v>
      </c>
      <c r="B145" t="s">
        <v>27</v>
      </c>
      <c r="C145">
        <v>152</v>
      </c>
      <c r="D145">
        <v>355</v>
      </c>
      <c r="E145">
        <v>270766</v>
      </c>
      <c r="F145">
        <v>9.48</v>
      </c>
      <c r="G145">
        <v>18001</v>
      </c>
      <c r="H145" s="82">
        <v>-7.4972485467156139E-4</v>
      </c>
      <c r="I145" s="83">
        <v>-203</v>
      </c>
    </row>
    <row r="146" spans="1:9" x14ac:dyDescent="0.3">
      <c r="A146" s="3">
        <v>45698</v>
      </c>
      <c r="B146" t="s">
        <v>33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  <c r="H146" s="82">
        <v>7.7568587198256845E-3</v>
      </c>
      <c r="I146" s="83">
        <v>1723</v>
      </c>
    </row>
    <row r="147" spans="1:9" x14ac:dyDescent="0.3">
      <c r="A147" s="3">
        <v>45698</v>
      </c>
      <c r="B147" t="s">
        <v>43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  <c r="H147" s="82">
        <v>2.9427518601934728E-3</v>
      </c>
      <c r="I147" s="83">
        <v>912</v>
      </c>
    </row>
    <row r="148" spans="1:9" x14ac:dyDescent="0.3">
      <c r="A148" s="3">
        <v>45698</v>
      </c>
      <c r="B148" t="s">
        <v>14</v>
      </c>
      <c r="C148">
        <v>1587</v>
      </c>
      <c r="D148">
        <v>385</v>
      </c>
      <c r="E148">
        <v>126582</v>
      </c>
      <c r="F148">
        <v>6.99</v>
      </c>
      <c r="G148">
        <v>42832</v>
      </c>
      <c r="H148" s="82">
        <v>9.4958208908059605E-3</v>
      </c>
      <c r="I148" s="83">
        <v>1202</v>
      </c>
    </row>
    <row r="149" spans="1:9" x14ac:dyDescent="0.3">
      <c r="A149" s="3">
        <v>45698</v>
      </c>
      <c r="B149" t="s">
        <v>27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  <c r="H149" s="82">
        <v>2.9756017144741179E-3</v>
      </c>
      <c r="I149" s="83">
        <v>1444</v>
      </c>
    </row>
    <row r="150" spans="1:9" x14ac:dyDescent="0.3">
      <c r="A150" s="3">
        <v>45705</v>
      </c>
      <c r="B150" t="s">
        <v>33</v>
      </c>
      <c r="C150">
        <v>1138</v>
      </c>
      <c r="D150">
        <v>173</v>
      </c>
      <c r="E150">
        <v>453243</v>
      </c>
      <c r="F150">
        <v>2.86</v>
      </c>
      <c r="G150">
        <v>44097</v>
      </c>
      <c r="H150" s="82">
        <v>2.1291007252180398E-3</v>
      </c>
      <c r="I150" s="83">
        <v>965</v>
      </c>
    </row>
    <row r="151" spans="1:9" x14ac:dyDescent="0.3">
      <c r="A151" s="3">
        <v>45705</v>
      </c>
      <c r="B151" t="s">
        <v>43</v>
      </c>
      <c r="C151">
        <v>1895</v>
      </c>
      <c r="D151">
        <v>305</v>
      </c>
      <c r="E151">
        <v>104967</v>
      </c>
      <c r="F151">
        <v>3.85</v>
      </c>
      <c r="G151">
        <v>31853</v>
      </c>
      <c r="H151" s="82">
        <v>1.5147617822744291E-2</v>
      </c>
      <c r="I151" s="83">
        <v>1590</v>
      </c>
    </row>
    <row r="152" spans="1:9" x14ac:dyDescent="0.3">
      <c r="A152" s="3">
        <v>45705</v>
      </c>
      <c r="B152" t="s">
        <v>14</v>
      </c>
      <c r="C152">
        <v>362</v>
      </c>
      <c r="D152">
        <v>399</v>
      </c>
      <c r="E152">
        <v>145608</v>
      </c>
      <c r="F152">
        <v>7.3</v>
      </c>
      <c r="G152">
        <v>37636</v>
      </c>
      <c r="H152" s="82">
        <v>-2.5410691720235154E-4</v>
      </c>
      <c r="I152" s="83">
        <v>-37</v>
      </c>
    </row>
    <row r="153" spans="1:9" x14ac:dyDescent="0.3">
      <c r="A153" s="3">
        <v>45705</v>
      </c>
      <c r="B153" t="s">
        <v>27</v>
      </c>
      <c r="C153">
        <v>1662</v>
      </c>
      <c r="D153">
        <v>487</v>
      </c>
      <c r="E153">
        <v>105980</v>
      </c>
      <c r="F153">
        <v>9.08</v>
      </c>
      <c r="G153">
        <v>22996</v>
      </c>
      <c r="H153" s="82">
        <v>1.1086997546706926E-2</v>
      </c>
      <c r="I153" s="83">
        <v>1175</v>
      </c>
    </row>
    <row r="154" spans="1:9" x14ac:dyDescent="0.3">
      <c r="A154" s="3">
        <v>45712</v>
      </c>
      <c r="B154" t="s">
        <v>33</v>
      </c>
      <c r="C154">
        <v>1440</v>
      </c>
      <c r="D154">
        <v>65</v>
      </c>
      <c r="E154">
        <v>126524</v>
      </c>
      <c r="F154">
        <v>4.34</v>
      </c>
      <c r="G154">
        <v>49772</v>
      </c>
      <c r="H154" s="82">
        <v>1.0867503398564699E-2</v>
      </c>
      <c r="I154" s="83">
        <v>1375</v>
      </c>
    </row>
    <row r="155" spans="1:9" x14ac:dyDescent="0.3">
      <c r="A155" s="3">
        <v>45712</v>
      </c>
      <c r="B155" t="s">
        <v>43</v>
      </c>
      <c r="C155">
        <v>1884</v>
      </c>
      <c r="D155">
        <v>177</v>
      </c>
      <c r="E155">
        <v>230448</v>
      </c>
      <c r="F155">
        <v>7.8</v>
      </c>
      <c r="G155">
        <v>22713</v>
      </c>
      <c r="H155" s="82">
        <v>7.4073109768798169E-3</v>
      </c>
      <c r="I155" s="83">
        <v>1707</v>
      </c>
    </row>
    <row r="156" spans="1:9" x14ac:dyDescent="0.3">
      <c r="A156" s="3">
        <v>45712</v>
      </c>
      <c r="B156" t="s">
        <v>14</v>
      </c>
      <c r="C156">
        <v>861</v>
      </c>
      <c r="D156">
        <v>153</v>
      </c>
      <c r="E156">
        <v>317007</v>
      </c>
      <c r="F156">
        <v>3.85</v>
      </c>
      <c r="G156">
        <v>8718</v>
      </c>
      <c r="H156" s="82">
        <v>2.2333891680625349E-3</v>
      </c>
      <c r="I156" s="83">
        <v>708</v>
      </c>
    </row>
    <row r="157" spans="1:9" x14ac:dyDescent="0.3">
      <c r="A157" s="3">
        <v>45712</v>
      </c>
      <c r="B157" t="s">
        <v>27</v>
      </c>
      <c r="C157">
        <v>1063</v>
      </c>
      <c r="D157">
        <v>47</v>
      </c>
      <c r="E157">
        <v>464239</v>
      </c>
      <c r="F157">
        <v>6.58</v>
      </c>
      <c r="G157">
        <v>39031</v>
      </c>
      <c r="H157" s="82">
        <v>2.1885278918832756E-3</v>
      </c>
      <c r="I157" s="83">
        <v>1016</v>
      </c>
    </row>
    <row r="158" spans="1:9" x14ac:dyDescent="0.3">
      <c r="A158" s="3">
        <v>45719</v>
      </c>
      <c r="B158" t="s">
        <v>33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  <c r="H158" s="82">
        <v>5.1052298518124532E-3</v>
      </c>
      <c r="I158" s="83">
        <v>1315</v>
      </c>
    </row>
    <row r="159" spans="1:9" x14ac:dyDescent="0.3">
      <c r="A159" s="3">
        <v>45719</v>
      </c>
      <c r="B159" t="s">
        <v>43</v>
      </c>
      <c r="C159">
        <v>345</v>
      </c>
      <c r="D159">
        <v>464</v>
      </c>
      <c r="E159">
        <v>366881</v>
      </c>
      <c r="F159">
        <v>4.55</v>
      </c>
      <c r="G159">
        <v>20553</v>
      </c>
      <c r="H159" s="82">
        <v>-3.2435585380545735E-4</v>
      </c>
      <c r="I159" s="83">
        <v>-119</v>
      </c>
    </row>
    <row r="160" spans="1:9" x14ac:dyDescent="0.3">
      <c r="A160" s="3">
        <v>45719</v>
      </c>
      <c r="B160" t="s">
        <v>14</v>
      </c>
      <c r="C160">
        <v>946</v>
      </c>
      <c r="D160">
        <v>47</v>
      </c>
      <c r="E160">
        <v>466575</v>
      </c>
      <c r="F160">
        <v>8.33</v>
      </c>
      <c r="G160">
        <v>10002</v>
      </c>
      <c r="H160" s="82">
        <v>1.9268070513850934E-3</v>
      </c>
      <c r="I160" s="83">
        <v>899</v>
      </c>
    </row>
    <row r="161" spans="1:9" x14ac:dyDescent="0.3">
      <c r="A161" s="3">
        <v>45719</v>
      </c>
      <c r="B161" t="s">
        <v>27</v>
      </c>
      <c r="C161">
        <v>510</v>
      </c>
      <c r="D161">
        <v>195</v>
      </c>
      <c r="E161">
        <v>224534</v>
      </c>
      <c r="F161">
        <v>9.4</v>
      </c>
      <c r="G161">
        <v>30987</v>
      </c>
      <c r="H161" s="82">
        <v>1.4029055733207443E-3</v>
      </c>
      <c r="I161" s="83">
        <v>315</v>
      </c>
    </row>
    <row r="162" spans="1:9" x14ac:dyDescent="0.3">
      <c r="A162" s="3">
        <v>45726</v>
      </c>
      <c r="B162" t="s">
        <v>33</v>
      </c>
      <c r="C162">
        <v>393</v>
      </c>
      <c r="D162">
        <v>181</v>
      </c>
      <c r="E162">
        <v>462142</v>
      </c>
      <c r="F162">
        <v>7.23</v>
      </c>
      <c r="G162">
        <v>6296</v>
      </c>
      <c r="H162" s="82">
        <v>4.5873346287504706E-4</v>
      </c>
      <c r="I162" s="83">
        <v>212</v>
      </c>
    </row>
    <row r="163" spans="1:9" x14ac:dyDescent="0.3">
      <c r="A163" s="3">
        <v>45726</v>
      </c>
      <c r="B163" t="s">
        <v>43</v>
      </c>
      <c r="C163">
        <v>1098</v>
      </c>
      <c r="D163">
        <v>190</v>
      </c>
      <c r="E163">
        <v>340842</v>
      </c>
      <c r="F163">
        <v>9.39</v>
      </c>
      <c r="G163">
        <v>21539</v>
      </c>
      <c r="H163" s="82">
        <v>2.6639909400836752E-3</v>
      </c>
      <c r="I163" s="83">
        <v>908</v>
      </c>
    </row>
    <row r="164" spans="1:9" x14ac:dyDescent="0.3">
      <c r="A164" s="3">
        <v>45726</v>
      </c>
      <c r="B164" t="s">
        <v>14</v>
      </c>
      <c r="C164">
        <v>1399</v>
      </c>
      <c r="D164">
        <v>49</v>
      </c>
      <c r="E164">
        <v>12471</v>
      </c>
      <c r="F164">
        <v>5.12</v>
      </c>
      <c r="G164">
        <v>14722</v>
      </c>
      <c r="H164" s="82">
        <v>0.10825114265095021</v>
      </c>
      <c r="I164" s="83">
        <v>1350</v>
      </c>
    </row>
    <row r="165" spans="1:9" x14ac:dyDescent="0.3">
      <c r="A165" s="3">
        <v>45726</v>
      </c>
      <c r="B165" t="s">
        <v>27</v>
      </c>
      <c r="C165">
        <v>1658</v>
      </c>
      <c r="D165">
        <v>416</v>
      </c>
      <c r="E165">
        <v>98397</v>
      </c>
      <c r="F165">
        <v>6.11</v>
      </c>
      <c r="G165">
        <v>11383</v>
      </c>
      <c r="H165" s="82">
        <v>1.2622336046830695E-2</v>
      </c>
      <c r="I165" s="83">
        <v>1242</v>
      </c>
    </row>
    <row r="166" spans="1:9" x14ac:dyDescent="0.3">
      <c r="A166" s="3">
        <v>45733</v>
      </c>
      <c r="B166" t="s">
        <v>33</v>
      </c>
      <c r="C166">
        <v>1102</v>
      </c>
      <c r="D166">
        <v>422</v>
      </c>
      <c r="E166">
        <v>410330</v>
      </c>
      <c r="F166">
        <v>7.74</v>
      </c>
      <c r="G166">
        <v>9480</v>
      </c>
      <c r="H166" s="82">
        <v>1.6572027392586454E-3</v>
      </c>
      <c r="I166" s="83">
        <v>680</v>
      </c>
    </row>
    <row r="167" spans="1:9" x14ac:dyDescent="0.3">
      <c r="A167" s="3">
        <v>45733</v>
      </c>
      <c r="B167" t="s">
        <v>43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  <c r="H167" s="82">
        <v>3.2619275185675578E-3</v>
      </c>
      <c r="I167" s="83">
        <v>1116</v>
      </c>
    </row>
    <row r="168" spans="1:9" x14ac:dyDescent="0.3">
      <c r="A168" s="3">
        <v>45733</v>
      </c>
      <c r="B168" t="s">
        <v>14</v>
      </c>
      <c r="C168">
        <v>1077</v>
      </c>
      <c r="D168">
        <v>216</v>
      </c>
      <c r="E168">
        <v>12447</v>
      </c>
      <c r="F168">
        <v>1.8</v>
      </c>
      <c r="G168">
        <v>14068</v>
      </c>
      <c r="H168" s="82">
        <v>6.9173294769824048E-2</v>
      </c>
      <c r="I168" s="83">
        <v>861</v>
      </c>
    </row>
    <row r="169" spans="1:9" x14ac:dyDescent="0.3">
      <c r="A169" s="3">
        <v>45733</v>
      </c>
      <c r="B169" t="s">
        <v>27</v>
      </c>
      <c r="C169">
        <v>1596</v>
      </c>
      <c r="D169">
        <v>211</v>
      </c>
      <c r="E169">
        <v>17380</v>
      </c>
      <c r="F169">
        <v>8.64</v>
      </c>
      <c r="G169">
        <v>35801</v>
      </c>
      <c r="H169" s="82">
        <v>7.9689298043728429E-2</v>
      </c>
      <c r="I169" s="83">
        <v>1385</v>
      </c>
    </row>
    <row r="170" spans="1:9" x14ac:dyDescent="0.3">
      <c r="A170" s="3">
        <v>45740</v>
      </c>
      <c r="B170" t="s">
        <v>33</v>
      </c>
      <c r="C170">
        <v>490</v>
      </c>
      <c r="D170">
        <v>29</v>
      </c>
      <c r="E170">
        <v>364810</v>
      </c>
      <c r="F170">
        <v>1.53</v>
      </c>
      <c r="G170">
        <v>49077</v>
      </c>
      <c r="H170" s="82">
        <v>1.2636715002329981E-3</v>
      </c>
      <c r="I170" s="83">
        <v>461</v>
      </c>
    </row>
    <row r="171" spans="1:9" x14ac:dyDescent="0.3">
      <c r="A171" s="3">
        <v>45740</v>
      </c>
      <c r="B171" t="s">
        <v>43</v>
      </c>
      <c r="C171">
        <v>609</v>
      </c>
      <c r="D171">
        <v>135</v>
      </c>
      <c r="E171">
        <v>373606</v>
      </c>
      <c r="F171">
        <v>8.52</v>
      </c>
      <c r="G171">
        <v>21453</v>
      </c>
      <c r="H171" s="82">
        <v>1.268716241173857E-3</v>
      </c>
      <c r="I171" s="83">
        <v>474</v>
      </c>
    </row>
    <row r="172" spans="1:9" x14ac:dyDescent="0.3">
      <c r="A172" s="3">
        <v>45740</v>
      </c>
      <c r="B172" t="s">
        <v>14</v>
      </c>
      <c r="C172">
        <v>364</v>
      </c>
      <c r="D172">
        <v>72</v>
      </c>
      <c r="E172">
        <v>211090</v>
      </c>
      <c r="F172">
        <v>5.53</v>
      </c>
      <c r="G172">
        <v>21061</v>
      </c>
      <c r="H172" s="82">
        <v>1.3832962243592781E-3</v>
      </c>
      <c r="I172" s="83">
        <v>292</v>
      </c>
    </row>
    <row r="173" spans="1:9" x14ac:dyDescent="0.3">
      <c r="A173" s="3">
        <v>45740</v>
      </c>
      <c r="B173" t="s">
        <v>27</v>
      </c>
      <c r="C173">
        <v>442</v>
      </c>
      <c r="D173">
        <v>53</v>
      </c>
      <c r="E173">
        <v>441931</v>
      </c>
      <c r="F173">
        <v>1.87</v>
      </c>
      <c r="G173">
        <v>20059</v>
      </c>
      <c r="H173" s="82">
        <v>8.8022790888170322E-4</v>
      </c>
      <c r="I173" s="83">
        <v>389</v>
      </c>
    </row>
    <row r="174" spans="1:9" x14ac:dyDescent="0.3">
      <c r="A174" s="3">
        <v>45747</v>
      </c>
      <c r="B174" t="s">
        <v>33</v>
      </c>
      <c r="C174">
        <v>1033</v>
      </c>
      <c r="D174">
        <v>392</v>
      </c>
      <c r="E174">
        <v>282780</v>
      </c>
      <c r="F174">
        <v>6.27</v>
      </c>
      <c r="G174">
        <v>23140</v>
      </c>
      <c r="H174" s="82">
        <v>2.2667798288422093E-3</v>
      </c>
      <c r="I174" s="83">
        <v>641</v>
      </c>
    </row>
    <row r="175" spans="1:9" x14ac:dyDescent="0.3">
      <c r="A175" s="3">
        <v>45747</v>
      </c>
      <c r="B175" t="s">
        <v>43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  <c r="H175" s="82">
        <v>1.3889264193260734E-3</v>
      </c>
      <c r="I175" s="83">
        <v>514</v>
      </c>
    </row>
    <row r="176" spans="1:9" x14ac:dyDescent="0.3">
      <c r="A176" s="3">
        <v>45747</v>
      </c>
      <c r="B176" t="s">
        <v>14</v>
      </c>
      <c r="C176">
        <v>1946</v>
      </c>
      <c r="D176">
        <v>270</v>
      </c>
      <c r="E176">
        <v>198350</v>
      </c>
      <c r="F176">
        <v>7.5</v>
      </c>
      <c r="G176">
        <v>11805</v>
      </c>
      <c r="H176" s="82">
        <v>8.4497101083942528E-3</v>
      </c>
      <c r="I176" s="83">
        <v>1676</v>
      </c>
    </row>
    <row r="177" spans="1:9" x14ac:dyDescent="0.3">
      <c r="A177" s="3">
        <v>45747</v>
      </c>
      <c r="B177" t="s">
        <v>27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  <c r="H177" s="82">
        <v>3.3667947287974553E-3</v>
      </c>
      <c r="I177" s="83">
        <v>1467</v>
      </c>
    </row>
    <row r="178" spans="1:9" x14ac:dyDescent="0.3">
      <c r="A178" s="3">
        <v>45754</v>
      </c>
      <c r="B178" t="s">
        <v>33</v>
      </c>
      <c r="C178">
        <v>559</v>
      </c>
      <c r="D178">
        <v>392</v>
      </c>
      <c r="E178">
        <v>78789</v>
      </c>
      <c r="F178">
        <v>3.19</v>
      </c>
      <c r="G178">
        <v>2436</v>
      </c>
      <c r="H178" s="82">
        <v>2.1195852212872357E-3</v>
      </c>
      <c r="I178" s="83">
        <v>167</v>
      </c>
    </row>
    <row r="179" spans="1:9" x14ac:dyDescent="0.3">
      <c r="A179" s="3">
        <v>45754</v>
      </c>
      <c r="B179" t="s">
        <v>43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  <c r="H179" s="82">
        <v>1.0436528865268368E-2</v>
      </c>
      <c r="I179" s="83">
        <v>1029</v>
      </c>
    </row>
    <row r="180" spans="1:9" x14ac:dyDescent="0.3">
      <c r="A180" s="3">
        <v>45754</v>
      </c>
      <c r="B180" t="s">
        <v>14</v>
      </c>
      <c r="C180">
        <v>1432</v>
      </c>
      <c r="D180">
        <v>425</v>
      </c>
      <c r="E180">
        <v>29589</v>
      </c>
      <c r="F180">
        <v>4.5</v>
      </c>
      <c r="G180">
        <v>42964</v>
      </c>
      <c r="H180" s="82">
        <v>3.4032917638311531E-2</v>
      </c>
      <c r="I180" s="83">
        <v>1007</v>
      </c>
    </row>
    <row r="181" spans="1:9" x14ac:dyDescent="0.3">
      <c r="A181" s="3">
        <v>45754</v>
      </c>
      <c r="B181" t="s">
        <v>27</v>
      </c>
      <c r="C181">
        <v>623</v>
      </c>
      <c r="D181">
        <v>414</v>
      </c>
      <c r="E181">
        <v>290354</v>
      </c>
      <c r="F181">
        <v>6.49</v>
      </c>
      <c r="G181">
        <v>39923</v>
      </c>
      <c r="H181" s="82">
        <v>7.1981098934404211E-4</v>
      </c>
      <c r="I181" s="83">
        <v>209</v>
      </c>
    </row>
    <row r="182" spans="1:9" x14ac:dyDescent="0.3">
      <c r="A182" s="3">
        <v>45761</v>
      </c>
      <c r="B182" t="s">
        <v>33</v>
      </c>
      <c r="C182">
        <v>198</v>
      </c>
      <c r="D182">
        <v>358</v>
      </c>
      <c r="E182">
        <v>66682</v>
      </c>
      <c r="F182">
        <v>6.73</v>
      </c>
      <c r="G182">
        <v>2293</v>
      </c>
      <c r="H182" s="82">
        <v>-2.3994481269308059E-3</v>
      </c>
      <c r="I182" s="83">
        <v>-160</v>
      </c>
    </row>
    <row r="183" spans="1:9" x14ac:dyDescent="0.3">
      <c r="A183" s="3">
        <v>45761</v>
      </c>
      <c r="B183" t="s">
        <v>43</v>
      </c>
      <c r="C183">
        <v>198</v>
      </c>
      <c r="D183">
        <v>373</v>
      </c>
      <c r="E183">
        <v>70707</v>
      </c>
      <c r="F183">
        <v>4.83</v>
      </c>
      <c r="G183">
        <v>25920</v>
      </c>
      <c r="H183" s="82">
        <v>-2.4750024750024749E-3</v>
      </c>
      <c r="I183" s="83">
        <v>-175</v>
      </c>
    </row>
    <row r="184" spans="1:9" x14ac:dyDescent="0.3">
      <c r="A184" s="3">
        <v>45761</v>
      </c>
      <c r="B184" t="s">
        <v>14</v>
      </c>
      <c r="C184">
        <v>353</v>
      </c>
      <c r="D184">
        <v>300</v>
      </c>
      <c r="E184">
        <v>142507</v>
      </c>
      <c r="F184">
        <v>5.3</v>
      </c>
      <c r="G184">
        <v>11035</v>
      </c>
      <c r="H184" s="82">
        <v>3.7191155522184875E-4</v>
      </c>
      <c r="I184" s="83">
        <v>53</v>
      </c>
    </row>
    <row r="185" spans="1:9" x14ac:dyDescent="0.3">
      <c r="A185" s="3">
        <v>45761</v>
      </c>
      <c r="B185" t="s">
        <v>27</v>
      </c>
      <c r="C185">
        <v>520</v>
      </c>
      <c r="D185">
        <v>375</v>
      </c>
      <c r="E185">
        <v>369525</v>
      </c>
      <c r="F185">
        <v>6.54</v>
      </c>
      <c r="G185">
        <v>20733</v>
      </c>
      <c r="H185" s="82">
        <v>3.9239564305527366E-4</v>
      </c>
      <c r="I185" s="83">
        <v>145</v>
      </c>
    </row>
    <row r="186" spans="1:9" x14ac:dyDescent="0.3">
      <c r="A186" s="3">
        <v>45768</v>
      </c>
      <c r="B186" t="s">
        <v>33</v>
      </c>
      <c r="C186">
        <v>961</v>
      </c>
      <c r="D186">
        <v>358</v>
      </c>
      <c r="E186">
        <v>62942</v>
      </c>
      <c r="F186">
        <v>6.8</v>
      </c>
      <c r="G186">
        <v>18693</v>
      </c>
      <c r="H186" s="82">
        <v>9.5802484827301332E-3</v>
      </c>
      <c r="I186" s="83">
        <v>603</v>
      </c>
    </row>
    <row r="187" spans="1:9" x14ac:dyDescent="0.3">
      <c r="A187" s="3">
        <v>45768</v>
      </c>
      <c r="B187" t="s">
        <v>43</v>
      </c>
      <c r="C187">
        <v>1375</v>
      </c>
      <c r="D187">
        <v>330</v>
      </c>
      <c r="E187">
        <v>377382</v>
      </c>
      <c r="F187">
        <v>2.6</v>
      </c>
      <c r="G187">
        <v>7875</v>
      </c>
      <c r="H187" s="82">
        <v>2.7690774864725927E-3</v>
      </c>
      <c r="I187" s="83">
        <v>1045</v>
      </c>
    </row>
    <row r="188" spans="1:9" x14ac:dyDescent="0.3">
      <c r="A188" s="3">
        <v>45768</v>
      </c>
      <c r="B188" t="s">
        <v>14</v>
      </c>
      <c r="C188">
        <v>1147</v>
      </c>
      <c r="D188">
        <v>388</v>
      </c>
      <c r="E188">
        <v>333851</v>
      </c>
      <c r="F188">
        <v>2.44</v>
      </c>
      <c r="G188">
        <v>8471</v>
      </c>
      <c r="H188" s="82">
        <v>2.2734693021737242E-3</v>
      </c>
      <c r="I188" s="83">
        <v>759</v>
      </c>
    </row>
    <row r="189" spans="1:9" x14ac:dyDescent="0.3">
      <c r="A189" s="3">
        <v>45768</v>
      </c>
      <c r="B189" t="s">
        <v>27</v>
      </c>
      <c r="C189">
        <v>1707</v>
      </c>
      <c r="D189">
        <v>74</v>
      </c>
      <c r="E189">
        <v>270958</v>
      </c>
      <c r="F189">
        <v>3.09</v>
      </c>
      <c r="G189">
        <v>14090</v>
      </c>
      <c r="H189" s="82">
        <v>6.0267642955734836E-3</v>
      </c>
      <c r="I189" s="83">
        <v>1633</v>
      </c>
    </row>
    <row r="190" spans="1:9" x14ac:dyDescent="0.3">
      <c r="A190" s="3">
        <v>45775</v>
      </c>
      <c r="B190" t="s">
        <v>33</v>
      </c>
      <c r="C190">
        <v>1693</v>
      </c>
      <c r="D190">
        <v>154</v>
      </c>
      <c r="E190">
        <v>445944</v>
      </c>
      <c r="F190">
        <v>5.69</v>
      </c>
      <c r="G190">
        <v>14216</v>
      </c>
      <c r="H190" s="82">
        <v>3.4511059684624078E-3</v>
      </c>
      <c r="I190" s="83">
        <v>1539</v>
      </c>
    </row>
    <row r="191" spans="1:9" x14ac:dyDescent="0.3">
      <c r="A191" s="3">
        <v>45775</v>
      </c>
      <c r="B191" t="s">
        <v>43</v>
      </c>
      <c r="C191">
        <v>833</v>
      </c>
      <c r="D191">
        <v>380</v>
      </c>
      <c r="E191">
        <v>224830</v>
      </c>
      <c r="F191">
        <v>3.86</v>
      </c>
      <c r="G191">
        <v>3582</v>
      </c>
      <c r="H191" s="82">
        <v>2.014855668727483E-3</v>
      </c>
      <c r="I191" s="83">
        <v>453</v>
      </c>
    </row>
    <row r="192" spans="1:9" x14ac:dyDescent="0.3">
      <c r="A192" s="3">
        <v>45775</v>
      </c>
      <c r="B192" t="s">
        <v>14</v>
      </c>
      <c r="C192">
        <v>1222</v>
      </c>
      <c r="D192">
        <v>274</v>
      </c>
      <c r="E192">
        <v>487289</v>
      </c>
      <c r="F192">
        <v>3.16</v>
      </c>
      <c r="G192">
        <v>32500</v>
      </c>
      <c r="H192" s="82">
        <v>1.9454574184929272E-3</v>
      </c>
      <c r="I192" s="83">
        <v>948</v>
      </c>
    </row>
    <row r="193" spans="1:9" x14ac:dyDescent="0.3">
      <c r="A193" s="3">
        <v>45775</v>
      </c>
      <c r="B193" t="s">
        <v>27</v>
      </c>
      <c r="C193">
        <v>777</v>
      </c>
      <c r="D193">
        <v>140</v>
      </c>
      <c r="E193">
        <v>11435</v>
      </c>
      <c r="F193">
        <v>1.6</v>
      </c>
      <c r="G193">
        <v>6832</v>
      </c>
      <c r="H193" s="82">
        <v>5.5706165282028861E-2</v>
      </c>
      <c r="I193" s="83">
        <v>637</v>
      </c>
    </row>
    <row r="194" spans="1:9" x14ac:dyDescent="0.3">
      <c r="A194" s="3">
        <v>45782</v>
      </c>
      <c r="B194" t="s">
        <v>33</v>
      </c>
      <c r="C194">
        <v>1957</v>
      </c>
      <c r="D194">
        <v>76</v>
      </c>
      <c r="E194">
        <v>447902</v>
      </c>
      <c r="F194">
        <v>6.09</v>
      </c>
      <c r="G194">
        <v>33381</v>
      </c>
      <c r="H194" s="82">
        <v>4.1995793722733989E-3</v>
      </c>
      <c r="I194" s="83">
        <v>1881</v>
      </c>
    </row>
    <row r="195" spans="1:9" x14ac:dyDescent="0.3">
      <c r="A195" s="3">
        <v>45782</v>
      </c>
      <c r="B195" t="s">
        <v>43</v>
      </c>
      <c r="C195">
        <v>405</v>
      </c>
      <c r="D195">
        <v>66</v>
      </c>
      <c r="E195">
        <v>418696</v>
      </c>
      <c r="F195">
        <v>5.59</v>
      </c>
      <c r="G195">
        <v>48419</v>
      </c>
      <c r="H195" s="82">
        <v>8.0965664826031301E-4</v>
      </c>
      <c r="I195" s="83">
        <v>339</v>
      </c>
    </row>
    <row r="196" spans="1:9" x14ac:dyDescent="0.3">
      <c r="A196" s="3">
        <v>45782</v>
      </c>
      <c r="B196" t="s">
        <v>14</v>
      </c>
      <c r="C196">
        <v>1581</v>
      </c>
      <c r="D196">
        <v>71</v>
      </c>
      <c r="E196">
        <v>484364</v>
      </c>
      <c r="F196">
        <v>3.55</v>
      </c>
      <c r="G196">
        <v>16149</v>
      </c>
      <c r="H196" s="82">
        <v>3.1174901520344203E-3</v>
      </c>
      <c r="I196" s="83">
        <v>1510</v>
      </c>
    </row>
    <row r="197" spans="1:9" x14ac:dyDescent="0.3">
      <c r="A197" s="3">
        <v>45782</v>
      </c>
      <c r="B197" t="s">
        <v>27</v>
      </c>
      <c r="C197">
        <v>1035</v>
      </c>
      <c r="D197">
        <v>171</v>
      </c>
      <c r="E197">
        <v>148477</v>
      </c>
      <c r="F197">
        <v>5.21</v>
      </c>
      <c r="G197">
        <v>7541</v>
      </c>
      <c r="H197" s="82">
        <v>5.8190830903102836E-3</v>
      </c>
      <c r="I197" s="83">
        <v>864</v>
      </c>
    </row>
    <row r="198" spans="1:9" x14ac:dyDescent="0.3">
      <c r="A198" s="3">
        <v>45789</v>
      </c>
      <c r="B198" t="s">
        <v>33</v>
      </c>
      <c r="C198">
        <v>1765</v>
      </c>
      <c r="D198">
        <v>109</v>
      </c>
      <c r="E198">
        <v>468301</v>
      </c>
      <c r="F198">
        <v>1.82</v>
      </c>
      <c r="G198">
        <v>20042</v>
      </c>
      <c r="H198" s="82">
        <v>3.5361871958419907E-3</v>
      </c>
      <c r="I198" s="83">
        <v>1656</v>
      </c>
    </row>
    <row r="199" spans="1:9" x14ac:dyDescent="0.3">
      <c r="A199" s="3">
        <v>45789</v>
      </c>
      <c r="B199" t="s">
        <v>43</v>
      </c>
      <c r="C199">
        <v>837</v>
      </c>
      <c r="D199">
        <v>430</v>
      </c>
      <c r="E199">
        <v>364820</v>
      </c>
      <c r="F199">
        <v>4</v>
      </c>
      <c r="G199">
        <v>49400</v>
      </c>
      <c r="H199" s="82">
        <v>1.1156186612576065E-3</v>
      </c>
      <c r="I199" s="83">
        <v>407</v>
      </c>
    </row>
    <row r="200" spans="1:9" x14ac:dyDescent="0.3">
      <c r="A200" s="3">
        <v>45789</v>
      </c>
      <c r="B200" t="s">
        <v>14</v>
      </c>
      <c r="C200">
        <v>337</v>
      </c>
      <c r="D200">
        <v>68</v>
      </c>
      <c r="E200">
        <v>456298</v>
      </c>
      <c r="F200">
        <v>7.57</v>
      </c>
      <c r="G200">
        <v>4007</v>
      </c>
      <c r="H200" s="82">
        <v>5.8952701962314107E-4</v>
      </c>
      <c r="I200" s="83">
        <v>269</v>
      </c>
    </row>
    <row r="201" spans="1:9" x14ac:dyDescent="0.3">
      <c r="A201" s="3">
        <v>45789</v>
      </c>
      <c r="B201" t="s">
        <v>27</v>
      </c>
      <c r="C201">
        <v>119</v>
      </c>
      <c r="D201">
        <v>456</v>
      </c>
      <c r="E201">
        <v>82558</v>
      </c>
      <c r="F201">
        <v>6.81</v>
      </c>
      <c r="G201">
        <v>12174</v>
      </c>
      <c r="H201" s="82">
        <v>-4.0819787301048958E-3</v>
      </c>
      <c r="I201" s="83">
        <v>-337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workbookViewId="0">
      <selection activeCell="D5" sqref="D5"/>
    </sheetView>
  </sheetViews>
  <sheetFormatPr defaultColWidth="14.44140625" defaultRowHeight="15" customHeight="1" x14ac:dyDescent="0.3"/>
  <cols>
    <col min="1" max="1" width="15.33203125" customWidth="1"/>
    <col min="2" max="2" width="12.77734375" customWidth="1"/>
    <col min="3" max="3" width="12.6640625" customWidth="1"/>
    <col min="4" max="4" width="14.5546875" customWidth="1"/>
    <col min="5" max="5" width="11" customWidth="1"/>
    <col min="6" max="6" width="17.77734375" customWidth="1"/>
    <col min="7" max="7" width="20.44140625" customWidth="1"/>
    <col min="8" max="26" width="8.6640625" customWidth="1"/>
  </cols>
  <sheetData>
    <row r="1" spans="1:7" ht="14.4" x14ac:dyDescent="0.3">
      <c r="A1" s="1" t="s">
        <v>12</v>
      </c>
      <c r="B1" s="1" t="s">
        <v>591</v>
      </c>
      <c r="C1" s="1" t="s">
        <v>592</v>
      </c>
      <c r="D1" s="1" t="s">
        <v>593</v>
      </c>
      <c r="E1" s="1" t="s">
        <v>594</v>
      </c>
      <c r="F1" s="1" t="s">
        <v>595</v>
      </c>
      <c r="G1" s="1" t="s">
        <v>596</v>
      </c>
    </row>
    <row r="2" spans="1:7" ht="14.4" x14ac:dyDescent="0.3">
      <c r="A2" s="2" t="s">
        <v>19</v>
      </c>
      <c r="B2" s="2" t="s">
        <v>597</v>
      </c>
      <c r="C2" s="2" t="s">
        <v>315</v>
      </c>
      <c r="D2" s="2" t="s">
        <v>598</v>
      </c>
      <c r="E2" s="2">
        <v>150000</v>
      </c>
      <c r="F2" s="2" t="s">
        <v>599</v>
      </c>
      <c r="G2" s="2" t="s">
        <v>41</v>
      </c>
    </row>
    <row r="3" spans="1:7" ht="14.4" x14ac:dyDescent="0.3">
      <c r="A3" s="2" t="s">
        <v>25</v>
      </c>
      <c r="B3" s="2" t="s">
        <v>600</v>
      </c>
      <c r="C3" s="2" t="s">
        <v>44</v>
      </c>
      <c r="D3" s="2" t="s">
        <v>601</v>
      </c>
      <c r="E3" s="2">
        <v>200000</v>
      </c>
      <c r="F3" s="2" t="s">
        <v>602</v>
      </c>
      <c r="G3" s="2" t="s">
        <v>603</v>
      </c>
    </row>
    <row r="4" spans="1:7" ht="14.4" x14ac:dyDescent="0.3">
      <c r="A4" s="2" t="s">
        <v>31</v>
      </c>
      <c r="B4" s="2" t="s">
        <v>604</v>
      </c>
      <c r="C4" s="2" t="s">
        <v>230</v>
      </c>
      <c r="D4" s="2" t="s">
        <v>605</v>
      </c>
      <c r="E4" s="2">
        <v>250000</v>
      </c>
      <c r="F4" s="2" t="s">
        <v>606</v>
      </c>
      <c r="G4" s="2" t="s">
        <v>607</v>
      </c>
    </row>
    <row r="5" spans="1:7" ht="14.4" x14ac:dyDescent="0.3">
      <c r="A5" s="2" t="s">
        <v>38</v>
      </c>
      <c r="B5" s="2" t="s">
        <v>608</v>
      </c>
      <c r="C5" s="2" t="s">
        <v>588</v>
      </c>
      <c r="D5" s="2" t="s">
        <v>609</v>
      </c>
      <c r="E5" s="2">
        <v>180000</v>
      </c>
      <c r="F5" s="2" t="s">
        <v>610</v>
      </c>
      <c r="G5" s="2" t="s">
        <v>611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5787-FC35-4DFD-B9B3-D5765C04C85A}">
  <dimension ref="A1:AJ25"/>
  <sheetViews>
    <sheetView workbookViewId="0">
      <selection activeCell="L14" sqref="L14"/>
    </sheetView>
  </sheetViews>
  <sheetFormatPr defaultRowHeight="14.4" x14ac:dyDescent="0.3"/>
  <cols>
    <col min="2" max="2" width="12.5546875" bestFit="1" customWidth="1"/>
    <col min="3" max="3" width="25.77734375" bestFit="1" customWidth="1"/>
    <col min="4" max="4" width="14.21875" customWidth="1"/>
    <col min="12" max="12" width="15.44140625" customWidth="1"/>
    <col min="13" max="13" width="13.21875" customWidth="1"/>
    <col min="14" max="14" width="12.44140625" customWidth="1"/>
    <col min="15" max="15" width="12.109375" customWidth="1"/>
  </cols>
  <sheetData>
    <row r="1" spans="1:36" x14ac:dyDescent="0.3">
      <c r="B1" s="97" t="s">
        <v>629</v>
      </c>
      <c r="C1" s="97"/>
    </row>
    <row r="3" spans="1:36" x14ac:dyDescent="0.3">
      <c r="B3" s="5" t="s">
        <v>615</v>
      </c>
      <c r="C3" t="s">
        <v>621</v>
      </c>
    </row>
    <row r="4" spans="1:36" ht="15.6" x14ac:dyDescent="0.3">
      <c r="B4" s="6" t="s">
        <v>43</v>
      </c>
      <c r="C4" s="4">
        <v>55.518493272956349</v>
      </c>
      <c r="E4" s="58" t="s">
        <v>664</v>
      </c>
      <c r="F4" s="58"/>
      <c r="G4" s="58"/>
      <c r="H4" s="58"/>
      <c r="I4" s="58"/>
    </row>
    <row r="5" spans="1:36" x14ac:dyDescent="0.3">
      <c r="B5" s="6" t="s">
        <v>33</v>
      </c>
      <c r="C5" s="4">
        <v>122.3794583539991</v>
      </c>
    </row>
    <row r="6" spans="1:36" x14ac:dyDescent="0.3">
      <c r="B6" s="6" t="s">
        <v>14</v>
      </c>
      <c r="C6" s="4">
        <v>99.363094191470083</v>
      </c>
    </row>
    <row r="7" spans="1:36" x14ac:dyDescent="0.3">
      <c r="B7" s="6" t="s">
        <v>27</v>
      </c>
      <c r="C7" s="4">
        <v>72.471020367403852</v>
      </c>
    </row>
    <row r="8" spans="1:36" x14ac:dyDescent="0.3">
      <c r="B8" s="6" t="s">
        <v>616</v>
      </c>
      <c r="C8" s="4">
        <v>88.074053744545111</v>
      </c>
    </row>
    <row r="13" spans="1:36" x14ac:dyDescent="0.3">
      <c r="B13" s="97" t="s">
        <v>623</v>
      </c>
      <c r="C13" s="97"/>
    </row>
    <row r="15" spans="1:36" s="11" customFormat="1" x14ac:dyDescent="0.3">
      <c r="A15" s="22" t="s">
        <v>0</v>
      </c>
      <c r="B15" s="23" t="s">
        <v>1</v>
      </c>
      <c r="C15" s="23" t="s">
        <v>2</v>
      </c>
      <c r="D15" s="23" t="s">
        <v>3</v>
      </c>
      <c r="E15" s="23" t="s">
        <v>4</v>
      </c>
      <c r="F15" s="23" t="s">
        <v>5</v>
      </c>
      <c r="G15" s="23" t="s">
        <v>6</v>
      </c>
      <c r="H15" s="23" t="s">
        <v>7</v>
      </c>
      <c r="I15" s="23" t="s">
        <v>8</v>
      </c>
      <c r="J15" s="23" t="s">
        <v>9</v>
      </c>
      <c r="K15" s="23" t="s">
        <v>10</v>
      </c>
      <c r="L15" s="23" t="s">
        <v>11</v>
      </c>
      <c r="M15" s="23" t="s">
        <v>12</v>
      </c>
      <c r="N15" s="24" t="s">
        <v>614</v>
      </c>
      <c r="O15" s="23" t="s">
        <v>622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</row>
    <row r="16" spans="1:36" x14ac:dyDescent="0.3">
      <c r="A16" s="12" t="s">
        <v>176</v>
      </c>
      <c r="B16" s="14" t="s">
        <v>14</v>
      </c>
      <c r="C16" s="15">
        <v>45540</v>
      </c>
      <c r="D16" s="14" t="s">
        <v>74</v>
      </c>
      <c r="E16" s="16" t="s">
        <v>145</v>
      </c>
      <c r="F16" s="16">
        <v>4886</v>
      </c>
      <c r="G16" s="16">
        <v>983</v>
      </c>
      <c r="H16" s="16">
        <v>409</v>
      </c>
      <c r="I16" s="16">
        <v>43974</v>
      </c>
      <c r="J16" s="16">
        <v>43239</v>
      </c>
      <c r="K16" s="16">
        <v>65</v>
      </c>
      <c r="L16" s="16" t="s">
        <v>30</v>
      </c>
      <c r="M16" s="16" t="s">
        <v>19</v>
      </c>
      <c r="N16" s="17">
        <v>26.569109018965751</v>
      </c>
      <c r="O16" s="18">
        <v>6278</v>
      </c>
    </row>
    <row r="17" spans="1:15" x14ac:dyDescent="0.3">
      <c r="A17" s="13" t="s">
        <v>321</v>
      </c>
      <c r="B17" s="19" t="s">
        <v>27</v>
      </c>
      <c r="C17" s="15">
        <v>45593</v>
      </c>
      <c r="D17" s="19" t="s">
        <v>35</v>
      </c>
      <c r="E17" s="16" t="s">
        <v>154</v>
      </c>
      <c r="F17" s="16">
        <v>4929</v>
      </c>
      <c r="G17" s="16">
        <v>749</v>
      </c>
      <c r="H17" s="16">
        <v>452</v>
      </c>
      <c r="I17" s="16">
        <v>93651</v>
      </c>
      <c r="J17" s="16">
        <v>92810</v>
      </c>
      <c r="K17" s="16">
        <v>66</v>
      </c>
      <c r="L17" s="16" t="s">
        <v>37</v>
      </c>
      <c r="M17" s="16" t="s">
        <v>38</v>
      </c>
      <c r="N17" s="17">
        <v>12.475574206361918</v>
      </c>
      <c r="O17" s="18">
        <v>6130</v>
      </c>
    </row>
    <row r="18" spans="1:15" x14ac:dyDescent="0.3">
      <c r="A18" s="12" t="s">
        <v>355</v>
      </c>
      <c r="B18" s="14" t="s">
        <v>27</v>
      </c>
      <c r="C18" s="15">
        <v>45715</v>
      </c>
      <c r="D18" s="14" t="s">
        <v>22</v>
      </c>
      <c r="E18" s="16" t="s">
        <v>104</v>
      </c>
      <c r="F18" s="16">
        <v>4934</v>
      </c>
      <c r="G18" s="16">
        <v>971</v>
      </c>
      <c r="H18" s="16">
        <v>156</v>
      </c>
      <c r="I18" s="16">
        <v>39472</v>
      </c>
      <c r="J18" s="16">
        <v>39025</v>
      </c>
      <c r="K18" s="16">
        <v>169</v>
      </c>
      <c r="L18" s="16" t="s">
        <v>30</v>
      </c>
      <c r="M18" s="16" t="s">
        <v>38</v>
      </c>
      <c r="N18" s="17">
        <v>29.599462910417511</v>
      </c>
      <c r="O18" s="18">
        <v>6061</v>
      </c>
    </row>
    <row r="19" spans="1:15" x14ac:dyDescent="0.3">
      <c r="A19" s="13" t="s">
        <v>355</v>
      </c>
      <c r="B19" s="19" t="s">
        <v>27</v>
      </c>
      <c r="C19" s="15">
        <v>45715</v>
      </c>
      <c r="D19" s="19" t="s">
        <v>22</v>
      </c>
      <c r="E19" s="16" t="s">
        <v>104</v>
      </c>
      <c r="F19" s="16">
        <v>4934</v>
      </c>
      <c r="G19" s="16">
        <v>971</v>
      </c>
      <c r="H19" s="16">
        <v>156</v>
      </c>
      <c r="I19" s="16">
        <v>39472</v>
      </c>
      <c r="J19" s="16">
        <v>39025</v>
      </c>
      <c r="K19" s="16">
        <v>169</v>
      </c>
      <c r="L19" s="16" t="s">
        <v>612</v>
      </c>
      <c r="M19" s="16" t="s">
        <v>38</v>
      </c>
      <c r="N19" s="17">
        <v>29.599462910417511</v>
      </c>
      <c r="O19" s="18">
        <v>6061</v>
      </c>
    </row>
    <row r="20" spans="1:15" x14ac:dyDescent="0.3">
      <c r="A20" s="12" t="s">
        <v>506</v>
      </c>
      <c r="B20" s="14" t="s">
        <v>33</v>
      </c>
      <c r="C20" s="15">
        <v>45592</v>
      </c>
      <c r="D20" s="14" t="s">
        <v>52</v>
      </c>
      <c r="E20" s="16" t="s">
        <v>215</v>
      </c>
      <c r="F20" s="16">
        <v>4853</v>
      </c>
      <c r="G20" s="16">
        <v>837</v>
      </c>
      <c r="H20" s="16">
        <v>340</v>
      </c>
      <c r="I20" s="16">
        <v>72795</v>
      </c>
      <c r="J20" s="16">
        <v>72237</v>
      </c>
      <c r="K20" s="16">
        <v>170</v>
      </c>
      <c r="L20" s="16" t="s">
        <v>37</v>
      </c>
      <c r="M20" s="16" t="s">
        <v>19</v>
      </c>
      <c r="N20" s="17">
        <v>16.049866062229547</v>
      </c>
      <c r="O20" s="18">
        <v>6030</v>
      </c>
    </row>
    <row r="21" spans="1:15" x14ac:dyDescent="0.3">
      <c r="A21" s="13" t="s">
        <v>477</v>
      </c>
      <c r="B21" s="19" t="s">
        <v>27</v>
      </c>
      <c r="C21" s="15">
        <v>45590</v>
      </c>
      <c r="D21" s="19" t="s">
        <v>74</v>
      </c>
      <c r="E21" s="16" t="s">
        <v>219</v>
      </c>
      <c r="F21" s="16">
        <v>4661</v>
      </c>
      <c r="G21" s="16">
        <v>935</v>
      </c>
      <c r="H21" s="16">
        <v>433</v>
      </c>
      <c r="I21" s="16">
        <v>23305</v>
      </c>
      <c r="J21" s="16">
        <v>22583</v>
      </c>
      <c r="K21" s="16">
        <v>63</v>
      </c>
      <c r="L21" s="16" t="s">
        <v>62</v>
      </c>
      <c r="M21" s="16" t="s">
        <v>31</v>
      </c>
      <c r="N21" s="17">
        <v>50.133018665522421</v>
      </c>
      <c r="O21" s="18">
        <v>6029</v>
      </c>
    </row>
    <row r="22" spans="1:15" x14ac:dyDescent="0.3">
      <c r="A22" s="12" t="s">
        <v>435</v>
      </c>
      <c r="B22" s="14" t="s">
        <v>43</v>
      </c>
      <c r="C22" s="15">
        <v>45783</v>
      </c>
      <c r="D22" s="14" t="s">
        <v>52</v>
      </c>
      <c r="E22" s="16" t="s">
        <v>59</v>
      </c>
      <c r="F22" s="16">
        <v>4872</v>
      </c>
      <c r="G22" s="16">
        <v>925</v>
      </c>
      <c r="H22" s="16">
        <v>176</v>
      </c>
      <c r="I22" s="16">
        <v>82824</v>
      </c>
      <c r="J22" s="16">
        <v>82543</v>
      </c>
      <c r="K22" s="16">
        <v>89</v>
      </c>
      <c r="L22" s="16" t="s">
        <v>37</v>
      </c>
      <c r="M22" s="16" t="s">
        <v>25</v>
      </c>
      <c r="N22" s="17">
        <v>14.106418429440742</v>
      </c>
      <c r="O22" s="18">
        <v>5973</v>
      </c>
    </row>
    <row r="23" spans="1:15" x14ac:dyDescent="0.3">
      <c r="A23" s="13" t="s">
        <v>259</v>
      </c>
      <c r="B23" s="19" t="s">
        <v>33</v>
      </c>
      <c r="C23" s="15">
        <v>45692</v>
      </c>
      <c r="D23" s="19" t="s">
        <v>52</v>
      </c>
      <c r="E23" s="16" t="s">
        <v>215</v>
      </c>
      <c r="F23" s="16">
        <v>4619</v>
      </c>
      <c r="G23" s="16">
        <v>821</v>
      </c>
      <c r="H23" s="16">
        <v>499</v>
      </c>
      <c r="I23" s="16">
        <v>69285</v>
      </c>
      <c r="J23" s="16">
        <v>69141</v>
      </c>
      <c r="K23" s="16">
        <v>298</v>
      </c>
      <c r="L23" s="16" t="s">
        <v>30</v>
      </c>
      <c r="M23" s="16" t="s">
        <v>38</v>
      </c>
      <c r="N23" s="17">
        <v>16.862957350075774</v>
      </c>
      <c r="O23" s="18">
        <v>5939</v>
      </c>
    </row>
    <row r="24" spans="1:15" x14ac:dyDescent="0.3">
      <c r="A24" s="12" t="s">
        <v>349</v>
      </c>
      <c r="B24" s="14" t="s">
        <v>14</v>
      </c>
      <c r="C24" s="15">
        <v>45707</v>
      </c>
      <c r="D24" s="14" t="s">
        <v>22</v>
      </c>
      <c r="E24" s="16" t="s">
        <v>23</v>
      </c>
      <c r="F24" s="16">
        <v>4671</v>
      </c>
      <c r="G24" s="16">
        <v>876</v>
      </c>
      <c r="H24" s="16">
        <v>366</v>
      </c>
      <c r="I24" s="16">
        <v>51381</v>
      </c>
      <c r="J24" s="16">
        <v>50565</v>
      </c>
      <c r="K24" s="16">
        <v>245</v>
      </c>
      <c r="L24" s="16" t="s">
        <v>30</v>
      </c>
      <c r="M24" s="16" t="s">
        <v>38</v>
      </c>
      <c r="N24" s="17">
        <v>22.738950195597596</v>
      </c>
      <c r="O24" s="18">
        <v>5913</v>
      </c>
    </row>
    <row r="25" spans="1:15" x14ac:dyDescent="0.3">
      <c r="A25" s="13" t="s">
        <v>454</v>
      </c>
      <c r="B25" s="20" t="s">
        <v>33</v>
      </c>
      <c r="C25" s="21">
        <v>45474</v>
      </c>
      <c r="D25" s="20" t="s">
        <v>35</v>
      </c>
      <c r="E25" s="16" t="s">
        <v>36</v>
      </c>
      <c r="F25" s="16">
        <v>4808</v>
      </c>
      <c r="G25" s="16">
        <v>772</v>
      </c>
      <c r="H25" s="16">
        <v>320</v>
      </c>
      <c r="I25" s="16">
        <v>72120</v>
      </c>
      <c r="J25" s="16">
        <v>71696</v>
      </c>
      <c r="K25" s="16">
        <v>195</v>
      </c>
      <c r="L25" s="16" t="s">
        <v>37</v>
      </c>
      <c r="M25" s="16" t="s">
        <v>19</v>
      </c>
      <c r="N25" s="17">
        <v>16.200083194675539</v>
      </c>
      <c r="O25" s="18">
        <v>5900</v>
      </c>
    </row>
  </sheetData>
  <mergeCells count="2">
    <mergeCell ref="B1:C1"/>
    <mergeCell ref="B13:C13"/>
  </mergeCells>
  <pageMargins left="0.7" right="0.7" top="0.75" bottom="0.75" header="0.3" footer="0.3"/>
  <pageSetup orientation="portrait" horizontalDpi="1200" verticalDpi="1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J25"/>
  <sheetViews>
    <sheetView topLeftCell="A3" zoomScale="110" zoomScaleNormal="110" workbookViewId="0">
      <selection activeCell="G24" sqref="G24"/>
    </sheetView>
  </sheetViews>
  <sheetFormatPr defaultRowHeight="14.4" x14ac:dyDescent="0.3"/>
  <cols>
    <col min="1" max="1" width="12.5546875" bestFit="1" customWidth="1"/>
    <col min="2" max="2" width="11.5546875" customWidth="1"/>
    <col min="3" max="3" width="13.109375" customWidth="1"/>
    <col min="4" max="4" width="16.6640625" bestFit="1" customWidth="1"/>
    <col min="5" max="5" width="15.5546875" bestFit="1" customWidth="1"/>
    <col min="6" max="6" width="20.21875" bestFit="1" customWidth="1"/>
    <col min="7" max="7" width="15.33203125" bestFit="1" customWidth="1"/>
    <col min="8" max="8" width="15.44140625" customWidth="1"/>
    <col min="9" max="9" width="25.21875" bestFit="1" customWidth="1"/>
    <col min="10" max="10" width="18.21875" bestFit="1" customWidth="1"/>
    <col min="11" max="293" width="15.5546875" bestFit="1" customWidth="1"/>
    <col min="294" max="294" width="10.77734375" bestFit="1" customWidth="1"/>
  </cols>
  <sheetData>
    <row r="3" spans="1:10" x14ac:dyDescent="0.3">
      <c r="I3" s="54" t="s">
        <v>662</v>
      </c>
    </row>
    <row r="4" spans="1:10" x14ac:dyDescent="0.3">
      <c r="A4" s="97" t="s">
        <v>627</v>
      </c>
      <c r="B4" s="97"/>
      <c r="C4" s="97"/>
      <c r="D4" s="97"/>
      <c r="F4" s="97" t="s">
        <v>626</v>
      </c>
      <c r="G4" s="97"/>
    </row>
    <row r="5" spans="1:10" x14ac:dyDescent="0.3">
      <c r="I5" s="5" t="s">
        <v>615</v>
      </c>
      <c r="J5" t="s">
        <v>628</v>
      </c>
    </row>
    <row r="6" spans="1:10" x14ac:dyDescent="0.3">
      <c r="A6" s="5" t="s">
        <v>615</v>
      </c>
      <c r="B6" t="s">
        <v>617</v>
      </c>
      <c r="C6" t="s">
        <v>618</v>
      </c>
      <c r="D6" t="s">
        <v>619</v>
      </c>
      <c r="F6" s="5" t="s">
        <v>615</v>
      </c>
      <c r="G6" t="s">
        <v>625</v>
      </c>
      <c r="I6" s="6" t="s">
        <v>38</v>
      </c>
      <c r="J6" s="10">
        <v>278843</v>
      </c>
    </row>
    <row r="7" spans="1:10" x14ac:dyDescent="0.3">
      <c r="A7" s="6" t="s">
        <v>43</v>
      </c>
      <c r="B7">
        <v>242761</v>
      </c>
      <c r="C7">
        <v>39181</v>
      </c>
      <c r="D7">
        <v>23300</v>
      </c>
      <c r="F7" s="6" t="s">
        <v>612</v>
      </c>
      <c r="G7" s="26">
        <v>161.19999999999999</v>
      </c>
      <c r="I7" s="7" t="s">
        <v>612</v>
      </c>
      <c r="J7" s="10">
        <v>19320</v>
      </c>
    </row>
    <row r="8" spans="1:10" x14ac:dyDescent="0.3">
      <c r="A8" s="7" t="s">
        <v>45</v>
      </c>
      <c r="B8">
        <v>44476</v>
      </c>
      <c r="C8">
        <v>7400</v>
      </c>
      <c r="D8">
        <v>4589</v>
      </c>
      <c r="F8" s="6" t="s">
        <v>613</v>
      </c>
      <c r="G8" s="26">
        <v>114.85714285714286</v>
      </c>
      <c r="I8" s="7" t="s">
        <v>613</v>
      </c>
      <c r="J8" s="10">
        <v>3818</v>
      </c>
    </row>
    <row r="9" spans="1:10" x14ac:dyDescent="0.3">
      <c r="A9" s="7" t="s">
        <v>52</v>
      </c>
      <c r="B9">
        <v>71602</v>
      </c>
      <c r="C9">
        <v>12904</v>
      </c>
      <c r="D9">
        <v>6495</v>
      </c>
      <c r="F9" s="6" t="s">
        <v>37</v>
      </c>
      <c r="G9" s="26">
        <v>151.52941176470588</v>
      </c>
      <c r="I9" s="7" t="s">
        <v>37</v>
      </c>
      <c r="J9" s="10">
        <v>85061</v>
      </c>
    </row>
    <row r="10" spans="1:10" x14ac:dyDescent="0.3">
      <c r="A10" s="7" t="s">
        <v>16</v>
      </c>
      <c r="B10">
        <v>36368</v>
      </c>
      <c r="C10">
        <v>5964</v>
      </c>
      <c r="D10">
        <v>3353</v>
      </c>
      <c r="F10" s="6" t="s">
        <v>62</v>
      </c>
      <c r="G10" s="26">
        <v>144.03883495145632</v>
      </c>
      <c r="I10" s="7" t="s">
        <v>62</v>
      </c>
      <c r="J10" s="10">
        <v>66211</v>
      </c>
    </row>
    <row r="11" spans="1:10" x14ac:dyDescent="0.3">
      <c r="A11" s="7" t="s">
        <v>35</v>
      </c>
      <c r="B11">
        <v>29405</v>
      </c>
      <c r="C11">
        <v>4950</v>
      </c>
      <c r="D11">
        <v>3223</v>
      </c>
      <c r="F11" s="6" t="s">
        <v>607</v>
      </c>
      <c r="G11" s="26">
        <v>111.8</v>
      </c>
      <c r="I11" s="7" t="s">
        <v>607</v>
      </c>
      <c r="J11" s="10">
        <v>8258</v>
      </c>
    </row>
    <row r="12" spans="1:10" x14ac:dyDescent="0.3">
      <c r="A12" s="7" t="s">
        <v>22</v>
      </c>
      <c r="B12">
        <v>31963</v>
      </c>
      <c r="C12">
        <v>4792</v>
      </c>
      <c r="D12">
        <v>3377</v>
      </c>
      <c r="F12" s="6" t="s">
        <v>30</v>
      </c>
      <c r="G12" s="26">
        <v>158.65420560747663</v>
      </c>
      <c r="I12" s="7" t="s">
        <v>30</v>
      </c>
      <c r="J12" s="10">
        <v>96175</v>
      </c>
    </row>
    <row r="13" spans="1:10" x14ac:dyDescent="0.3">
      <c r="A13" s="7" t="s">
        <v>74</v>
      </c>
      <c r="B13">
        <v>28947</v>
      </c>
      <c r="C13">
        <v>3171</v>
      </c>
      <c r="D13">
        <v>2263</v>
      </c>
      <c r="I13" s="6" t="s">
        <v>620</v>
      </c>
      <c r="J13" s="10">
        <v>204278</v>
      </c>
    </row>
    <row r="14" spans="1:10" x14ac:dyDescent="0.3">
      <c r="A14" s="6" t="s">
        <v>33</v>
      </c>
      <c r="B14">
        <v>204284</v>
      </c>
      <c r="C14">
        <v>41444</v>
      </c>
      <c r="D14">
        <v>17851</v>
      </c>
      <c r="I14" s="6" t="s">
        <v>25</v>
      </c>
      <c r="J14" s="10">
        <v>233721</v>
      </c>
    </row>
    <row r="15" spans="1:10" x14ac:dyDescent="0.3">
      <c r="A15" s="7" t="s">
        <v>45</v>
      </c>
      <c r="B15">
        <v>43948</v>
      </c>
      <c r="C15">
        <v>6975</v>
      </c>
      <c r="D15">
        <v>3890</v>
      </c>
      <c r="F15" s="28" t="s">
        <v>692</v>
      </c>
      <c r="I15" s="7" t="s">
        <v>612</v>
      </c>
      <c r="J15" s="10">
        <v>12080</v>
      </c>
    </row>
    <row r="16" spans="1:10" x14ac:dyDescent="0.3">
      <c r="A16" s="7" t="s">
        <v>52</v>
      </c>
      <c r="B16">
        <v>34202</v>
      </c>
      <c r="C16">
        <v>5286</v>
      </c>
      <c r="D16">
        <v>2655</v>
      </c>
      <c r="I16" s="7" t="s">
        <v>613</v>
      </c>
      <c r="J16" s="10">
        <v>8887</v>
      </c>
    </row>
    <row r="17" spans="1:10" x14ac:dyDescent="0.3">
      <c r="A17" s="7" t="s">
        <v>16</v>
      </c>
      <c r="B17">
        <v>32148</v>
      </c>
      <c r="C17">
        <v>8110</v>
      </c>
      <c r="D17">
        <v>3386</v>
      </c>
      <c r="I17" s="7" t="s">
        <v>37</v>
      </c>
      <c r="J17" s="10">
        <v>65065</v>
      </c>
    </row>
    <row r="18" spans="1:10" x14ac:dyDescent="0.3">
      <c r="A18" s="7" t="s">
        <v>35</v>
      </c>
      <c r="B18">
        <v>42649</v>
      </c>
      <c r="C18">
        <v>10049</v>
      </c>
      <c r="D18">
        <v>3846</v>
      </c>
      <c r="I18" s="7" t="s">
        <v>62</v>
      </c>
      <c r="J18" s="10">
        <v>56040</v>
      </c>
    </row>
    <row r="19" spans="1:10" x14ac:dyDescent="0.3">
      <c r="A19" s="7" t="s">
        <v>22</v>
      </c>
      <c r="B19">
        <v>25567</v>
      </c>
      <c r="C19">
        <v>5112</v>
      </c>
      <c r="D19">
        <v>1946</v>
      </c>
      <c r="I19" s="7" t="s">
        <v>607</v>
      </c>
      <c r="J19" s="10">
        <v>2854</v>
      </c>
    </row>
    <row r="20" spans="1:10" x14ac:dyDescent="0.3">
      <c r="A20" s="7" t="s">
        <v>74</v>
      </c>
      <c r="B20">
        <v>25770</v>
      </c>
      <c r="C20">
        <v>5912</v>
      </c>
      <c r="D20">
        <v>2128</v>
      </c>
      <c r="I20" s="7" t="s">
        <v>30</v>
      </c>
      <c r="J20" s="10">
        <v>88795</v>
      </c>
    </row>
    <row r="21" spans="1:10" x14ac:dyDescent="0.3">
      <c r="A21" s="6" t="s">
        <v>14</v>
      </c>
      <c r="B21">
        <v>201397</v>
      </c>
      <c r="C21">
        <v>33728</v>
      </c>
      <c r="D21">
        <v>20880</v>
      </c>
      <c r="I21" s="6" t="s">
        <v>31</v>
      </c>
      <c r="J21" s="10">
        <v>257608</v>
      </c>
    </row>
    <row r="22" spans="1:10" x14ac:dyDescent="0.3">
      <c r="A22" s="6" t="s">
        <v>27</v>
      </c>
      <c r="B22">
        <v>171549</v>
      </c>
      <c r="C22">
        <v>28572</v>
      </c>
      <c r="D22">
        <v>12820</v>
      </c>
      <c r="I22" s="6" t="s">
        <v>19</v>
      </c>
      <c r="J22" s="10">
        <v>193900</v>
      </c>
    </row>
    <row r="23" spans="1:10" x14ac:dyDescent="0.3">
      <c r="I23" s="6" t="s">
        <v>616</v>
      </c>
      <c r="J23" s="10">
        <v>1168350</v>
      </c>
    </row>
    <row r="25" spans="1:10" x14ac:dyDescent="0.3">
      <c r="I25" s="28" t="s">
        <v>693</v>
      </c>
    </row>
  </sheetData>
  <mergeCells count="2">
    <mergeCell ref="F4:G4"/>
    <mergeCell ref="A4:D4"/>
  </mergeCells>
  <conditionalFormatting sqref="I9">
    <cfRule type="top10" dxfId="0" priority="1" rank="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C2A6-7D60-40CB-AF11-1C6E715A955A}">
  <dimension ref="A1:M11"/>
  <sheetViews>
    <sheetView zoomScale="110" zoomScaleNormal="110" workbookViewId="0">
      <selection activeCell="M15" sqref="M15"/>
    </sheetView>
  </sheetViews>
  <sheetFormatPr defaultRowHeight="14.4" x14ac:dyDescent="0.3"/>
  <cols>
    <col min="1" max="1" width="21.44140625" bestFit="1" customWidth="1"/>
    <col min="2" max="2" width="15.5546875" bestFit="1" customWidth="1"/>
    <col min="3" max="3" width="6.21875" bestFit="1" customWidth="1"/>
    <col min="4" max="4" width="5" bestFit="1" customWidth="1"/>
    <col min="5" max="5" width="5.44140625" bestFit="1" customWidth="1"/>
    <col min="6" max="6" width="5" bestFit="1" customWidth="1"/>
    <col min="7" max="7" width="5.88671875" bestFit="1" customWidth="1"/>
    <col min="8" max="8" width="11" bestFit="1" customWidth="1"/>
    <col min="12" max="12" width="12.5546875" bestFit="1" customWidth="1"/>
    <col min="13" max="13" width="33.21875" bestFit="1" customWidth="1"/>
  </cols>
  <sheetData>
    <row r="1" spans="1:13" x14ac:dyDescent="0.3">
      <c r="A1" s="98" t="s">
        <v>663</v>
      </c>
      <c r="B1" s="98"/>
      <c r="L1" s="97" t="s">
        <v>640</v>
      </c>
      <c r="M1" s="97"/>
    </row>
    <row r="3" spans="1:13" x14ac:dyDescent="0.3">
      <c r="A3" s="5" t="s">
        <v>631</v>
      </c>
      <c r="B3" s="5" t="s">
        <v>660</v>
      </c>
      <c r="L3" s="5" t="s">
        <v>615</v>
      </c>
      <c r="M3" t="s">
        <v>641</v>
      </c>
    </row>
    <row r="4" spans="1:13" x14ac:dyDescent="0.3">
      <c r="A4" s="5" t="s">
        <v>615</v>
      </c>
      <c r="B4" s="60" t="s">
        <v>45</v>
      </c>
      <c r="C4" t="s">
        <v>52</v>
      </c>
      <c r="D4" t="s">
        <v>16</v>
      </c>
      <c r="E4" t="s">
        <v>35</v>
      </c>
      <c r="F4" t="s">
        <v>22</v>
      </c>
      <c r="G4" t="s">
        <v>74</v>
      </c>
      <c r="H4" t="s">
        <v>616</v>
      </c>
      <c r="L4" s="6" t="s">
        <v>43</v>
      </c>
      <c r="M4" s="27">
        <v>5.4649906832972654E-3</v>
      </c>
    </row>
    <row r="5" spans="1:13" x14ac:dyDescent="0.3">
      <c r="A5" s="61" t="s">
        <v>43</v>
      </c>
      <c r="B5" s="47">
        <v>4033.2142857142858</v>
      </c>
      <c r="C5" s="47">
        <v>3634.1785714285716</v>
      </c>
      <c r="D5" s="47">
        <v>4070.2142857142858</v>
      </c>
      <c r="E5" s="47">
        <v>3416.181818181818</v>
      </c>
      <c r="F5" s="47">
        <v>2806.75</v>
      </c>
      <c r="G5" s="47">
        <v>3685</v>
      </c>
      <c r="H5" s="47">
        <v>3597.2150537634407</v>
      </c>
      <c r="L5" s="6" t="s">
        <v>33</v>
      </c>
      <c r="M5" s="27">
        <v>5.7625321264951823E-3</v>
      </c>
    </row>
    <row r="6" spans="1:13" x14ac:dyDescent="0.3">
      <c r="A6" s="61" t="s">
        <v>33</v>
      </c>
      <c r="B6" s="47">
        <v>3055.8421052631579</v>
      </c>
      <c r="C6" s="47">
        <v>3848.1538461538462</v>
      </c>
      <c r="D6" s="47">
        <v>3357.2307692307691</v>
      </c>
      <c r="E6" s="47">
        <v>3536.2105263157896</v>
      </c>
      <c r="F6" s="47">
        <v>3262.5</v>
      </c>
      <c r="G6" s="47">
        <v>2692.1428571428573</v>
      </c>
      <c r="H6" s="47">
        <v>3286.75</v>
      </c>
      <c r="L6" s="6" t="s">
        <v>14</v>
      </c>
      <c r="M6" s="27">
        <v>9.2800256766213396E-3</v>
      </c>
    </row>
    <row r="7" spans="1:13" x14ac:dyDescent="0.3">
      <c r="A7" s="61" t="s">
        <v>14</v>
      </c>
      <c r="B7" s="47">
        <v>3470</v>
      </c>
      <c r="C7" s="47">
        <v>2899.818181818182</v>
      </c>
      <c r="D7" s="47">
        <v>2956.75</v>
      </c>
      <c r="E7" s="47">
        <v>3175.7777777777778</v>
      </c>
      <c r="F7" s="47">
        <v>3800.5</v>
      </c>
      <c r="G7" s="47">
        <v>3409.1333333333332</v>
      </c>
      <c r="H7" s="47">
        <v>3271.108695652174</v>
      </c>
      <c r="L7" s="6" t="s">
        <v>27</v>
      </c>
      <c r="M7" s="27">
        <v>9.021066631336009E-3</v>
      </c>
    </row>
    <row r="8" spans="1:13" x14ac:dyDescent="0.3">
      <c r="A8" s="61" t="s">
        <v>27</v>
      </c>
      <c r="B8" s="47">
        <v>2928.25</v>
      </c>
      <c r="C8" s="47">
        <v>3365.5555555555557</v>
      </c>
      <c r="D8" s="47">
        <v>3449.4285714285716</v>
      </c>
      <c r="E8" s="47">
        <v>4205.1111111111113</v>
      </c>
      <c r="F8" s="47">
        <v>4192.6000000000004</v>
      </c>
      <c r="G8" s="47">
        <v>4178.333333333333</v>
      </c>
      <c r="H8" s="47">
        <v>3691.409090909091</v>
      </c>
      <c r="L8" s="6" t="s">
        <v>616</v>
      </c>
      <c r="M8" s="27">
        <v>7.3821537794374484E-3</v>
      </c>
    </row>
    <row r="9" spans="1:13" x14ac:dyDescent="0.3">
      <c r="A9" s="64" t="s">
        <v>616</v>
      </c>
      <c r="B9" s="47">
        <v>3373.2089552238808</v>
      </c>
      <c r="C9" s="47">
        <v>3414.8472222222222</v>
      </c>
      <c r="D9" s="47">
        <v>3479.2452830188681</v>
      </c>
      <c r="E9" s="47">
        <v>3566.5416666666665</v>
      </c>
      <c r="F9" s="47">
        <v>3438.8541666666665</v>
      </c>
      <c r="G9" s="47">
        <v>3447.3921568627452</v>
      </c>
      <c r="H9" s="47">
        <v>3446.4601769911505</v>
      </c>
    </row>
    <row r="10" spans="1:13" x14ac:dyDescent="0.3">
      <c r="L10" s="28" t="s">
        <v>642</v>
      </c>
    </row>
    <row r="11" spans="1:13" x14ac:dyDescent="0.3">
      <c r="A11" s="28" t="s">
        <v>670</v>
      </c>
    </row>
  </sheetData>
  <mergeCells count="2">
    <mergeCell ref="L1:M1"/>
    <mergeCell ref="A1:B1"/>
  </mergeCells>
  <pageMargins left="0.7" right="0.7" top="0.75" bottom="0.75" header="0.3" footer="0.3"/>
  <pageSetup orientation="portrait" horizontalDpi="1200" verticalDpi="1200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2900-0967-4CA2-8093-DDA101903CC3}">
  <dimension ref="B1:R15"/>
  <sheetViews>
    <sheetView zoomScale="90" zoomScaleNormal="90" workbookViewId="0">
      <selection activeCell="I15" sqref="I15"/>
    </sheetView>
  </sheetViews>
  <sheetFormatPr defaultRowHeight="14.4" x14ac:dyDescent="0.3"/>
  <cols>
    <col min="1" max="1" width="12" customWidth="1"/>
    <col min="2" max="2" width="14.109375" customWidth="1"/>
    <col min="3" max="3" width="19.88671875" customWidth="1"/>
    <col min="4" max="4" width="18" customWidth="1"/>
    <col min="6" max="6" width="9.44140625" customWidth="1"/>
    <col min="7" max="7" width="14.33203125" customWidth="1"/>
    <col min="8" max="8" width="13.5546875" hidden="1" customWidth="1"/>
    <col min="12" max="12" width="21.77734375" customWidth="1"/>
    <col min="13" max="13" width="14" customWidth="1"/>
  </cols>
  <sheetData>
    <row r="1" spans="2:18" ht="15.6" x14ac:dyDescent="0.3">
      <c r="L1" s="62" t="s">
        <v>665</v>
      </c>
    </row>
    <row r="3" spans="2:18" x14ac:dyDescent="0.3">
      <c r="F3" s="5" t="s">
        <v>615</v>
      </c>
      <c r="G3" t="s">
        <v>630</v>
      </c>
      <c r="H3" s="5" t="s">
        <v>615</v>
      </c>
      <c r="I3" t="s">
        <v>628</v>
      </c>
    </row>
    <row r="4" spans="2:18" x14ac:dyDescent="0.3">
      <c r="B4" s="25" t="s">
        <v>615</v>
      </c>
      <c r="C4" s="25" t="s">
        <v>628</v>
      </c>
      <c r="D4" s="25" t="s">
        <v>630</v>
      </c>
      <c r="F4" s="6" t="s">
        <v>43</v>
      </c>
      <c r="G4" s="10">
        <v>1379539</v>
      </c>
      <c r="H4" s="6" t="s">
        <v>43</v>
      </c>
      <c r="I4" s="10">
        <v>334541</v>
      </c>
      <c r="L4" s="5" t="s">
        <v>631</v>
      </c>
      <c r="M4" s="5" t="s">
        <v>660</v>
      </c>
    </row>
    <row r="5" spans="2:18" x14ac:dyDescent="0.3">
      <c r="B5" s="6" t="s">
        <v>43</v>
      </c>
      <c r="C5" s="10">
        <v>334541</v>
      </c>
      <c r="D5" s="10">
        <v>1379539</v>
      </c>
      <c r="F5" s="6" t="s">
        <v>33</v>
      </c>
      <c r="G5" s="10">
        <v>1164373</v>
      </c>
      <c r="H5" s="6" t="s">
        <v>33</v>
      </c>
      <c r="I5" s="10">
        <v>289234</v>
      </c>
      <c r="L5" s="5" t="s">
        <v>615</v>
      </c>
      <c r="M5" s="60" t="s">
        <v>45</v>
      </c>
      <c r="N5" t="s">
        <v>52</v>
      </c>
      <c r="O5" t="s">
        <v>16</v>
      </c>
      <c r="P5" t="s">
        <v>35</v>
      </c>
      <c r="Q5" t="s">
        <v>22</v>
      </c>
      <c r="R5" t="s">
        <v>74</v>
      </c>
    </row>
    <row r="6" spans="2:18" x14ac:dyDescent="0.3">
      <c r="B6" s="6" t="s">
        <v>33</v>
      </c>
      <c r="C6" s="10">
        <v>289234</v>
      </c>
      <c r="D6" s="10">
        <v>1164373</v>
      </c>
      <c r="F6" s="6" t="s">
        <v>14</v>
      </c>
      <c r="G6" s="10">
        <v>1060357</v>
      </c>
      <c r="H6" s="6" t="s">
        <v>14</v>
      </c>
      <c r="I6" s="10">
        <v>300942</v>
      </c>
      <c r="L6" s="61" t="s">
        <v>43</v>
      </c>
      <c r="M6" s="47">
        <v>4033.2142857142858</v>
      </c>
      <c r="N6" s="47">
        <v>3634.1785714285716</v>
      </c>
      <c r="O6" s="47">
        <v>4070.2142857142858</v>
      </c>
      <c r="P6" s="47">
        <v>3416.181818181818</v>
      </c>
      <c r="Q6" s="47">
        <v>2806.75</v>
      </c>
      <c r="R6" s="47">
        <v>3685</v>
      </c>
    </row>
    <row r="7" spans="2:18" x14ac:dyDescent="0.3">
      <c r="B7" s="6" t="s">
        <v>14</v>
      </c>
      <c r="C7" s="10">
        <v>300942</v>
      </c>
      <c r="D7" s="10">
        <v>1060357</v>
      </c>
      <c r="F7" s="6" t="s">
        <v>27</v>
      </c>
      <c r="G7" s="10">
        <v>1228647</v>
      </c>
      <c r="H7" s="6" t="s">
        <v>27</v>
      </c>
      <c r="I7" s="10">
        <v>243633</v>
      </c>
      <c r="L7" s="61" t="s">
        <v>33</v>
      </c>
      <c r="M7" s="47">
        <v>3055.8421052631579</v>
      </c>
      <c r="N7" s="47">
        <v>3848.1538461538462</v>
      </c>
      <c r="O7" s="47">
        <v>3357.2307692307691</v>
      </c>
      <c r="P7" s="47">
        <v>3536.2105263157896</v>
      </c>
      <c r="Q7" s="47">
        <v>3262.5</v>
      </c>
      <c r="R7" s="47">
        <v>2692.1428571428573</v>
      </c>
    </row>
    <row r="8" spans="2:18" x14ac:dyDescent="0.3">
      <c r="B8" s="6" t="s">
        <v>27</v>
      </c>
      <c r="C8" s="10">
        <v>243633</v>
      </c>
      <c r="D8" s="10">
        <v>1228647</v>
      </c>
      <c r="F8" s="6" t="s">
        <v>616</v>
      </c>
      <c r="G8" s="10">
        <v>4832916</v>
      </c>
      <c r="H8" s="6" t="s">
        <v>616</v>
      </c>
      <c r="I8" s="10">
        <v>1168350</v>
      </c>
      <c r="L8" s="61" t="s">
        <v>14</v>
      </c>
      <c r="M8" s="47">
        <v>3470</v>
      </c>
      <c r="N8" s="47">
        <v>2899.818181818182</v>
      </c>
      <c r="O8" s="47">
        <v>2956.75</v>
      </c>
      <c r="P8" s="47">
        <v>3175.7777777777778</v>
      </c>
      <c r="Q8" s="47">
        <v>3800.5</v>
      </c>
      <c r="R8" s="47">
        <v>3409.1333333333332</v>
      </c>
    </row>
    <row r="9" spans="2:18" x14ac:dyDescent="0.3">
      <c r="L9" s="61" t="s">
        <v>27</v>
      </c>
      <c r="M9" s="47">
        <v>2928.25</v>
      </c>
      <c r="N9" s="47">
        <v>3365.5555555555557</v>
      </c>
      <c r="O9" s="47">
        <v>3449.4285714285716</v>
      </c>
      <c r="P9" s="47">
        <v>4205.1111111111113</v>
      </c>
      <c r="Q9" s="47">
        <v>4192.6000000000004</v>
      </c>
      <c r="R9" s="47">
        <v>4178.333333333333</v>
      </c>
    </row>
    <row r="12" spans="2:18" x14ac:dyDescent="0.3">
      <c r="L12" s="63" t="s">
        <v>666</v>
      </c>
    </row>
    <row r="13" spans="2:18" x14ac:dyDescent="0.3">
      <c r="L13" s="59" t="s">
        <v>667</v>
      </c>
    </row>
    <row r="14" spans="2:18" x14ac:dyDescent="0.3">
      <c r="L14" s="59" t="s">
        <v>668</v>
      </c>
    </row>
    <row r="15" spans="2:18" x14ac:dyDescent="0.3">
      <c r="L15" s="59" t="s">
        <v>669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6AC9F-6F0F-4FC4-ABC4-D88F0D3A9BD5}">
  <dimension ref="A1:F61"/>
  <sheetViews>
    <sheetView zoomScaleNormal="100" workbookViewId="0">
      <selection activeCell="B16" sqref="B16"/>
    </sheetView>
  </sheetViews>
  <sheetFormatPr defaultRowHeight="14.4" x14ac:dyDescent="0.3"/>
  <cols>
    <col min="1" max="1" width="20.21875" bestFit="1" customWidth="1"/>
    <col min="2" max="2" width="21.33203125" bestFit="1" customWidth="1"/>
    <col min="3" max="4" width="12.5546875" bestFit="1" customWidth="1"/>
    <col min="5" max="5" width="40.109375" bestFit="1" customWidth="1"/>
    <col min="6" max="6" width="21.44140625" bestFit="1" customWidth="1"/>
    <col min="7" max="7" width="15.44140625" bestFit="1" customWidth="1"/>
    <col min="8" max="8" width="13.44140625" bestFit="1" customWidth="1"/>
    <col min="9" max="9" width="15.44140625" bestFit="1" customWidth="1"/>
    <col min="10" max="10" width="20.6640625" bestFit="1" customWidth="1"/>
    <col min="11" max="11" width="17.88671875" bestFit="1" customWidth="1"/>
    <col min="12" max="12" width="10.77734375" bestFit="1" customWidth="1"/>
  </cols>
  <sheetData>
    <row r="1" spans="1:6" x14ac:dyDescent="0.3">
      <c r="A1" s="99" t="s">
        <v>632</v>
      </c>
      <c r="B1" s="99"/>
      <c r="E1" s="99" t="s">
        <v>634</v>
      </c>
      <c r="F1" s="99"/>
    </row>
    <row r="3" spans="1:6" x14ac:dyDescent="0.3">
      <c r="A3" s="5" t="s">
        <v>615</v>
      </c>
      <c r="B3" t="s">
        <v>645</v>
      </c>
      <c r="E3" s="5" t="s">
        <v>615</v>
      </c>
      <c r="F3" t="s">
        <v>631</v>
      </c>
    </row>
    <row r="4" spans="1:6" x14ac:dyDescent="0.3">
      <c r="A4" s="6" t="s">
        <v>612</v>
      </c>
      <c r="B4">
        <v>15</v>
      </c>
      <c r="E4" s="6" t="s">
        <v>154</v>
      </c>
      <c r="F4" s="10">
        <v>4205.1111111111113</v>
      </c>
    </row>
    <row r="5" spans="1:6" x14ac:dyDescent="0.3">
      <c r="A5" s="6" t="s">
        <v>613</v>
      </c>
      <c r="B5">
        <v>7</v>
      </c>
      <c r="E5" s="7" t="s">
        <v>37</v>
      </c>
      <c r="F5" s="10">
        <v>4232.75</v>
      </c>
    </row>
    <row r="6" spans="1:6" x14ac:dyDescent="0.3">
      <c r="A6" s="6" t="s">
        <v>37</v>
      </c>
      <c r="B6">
        <v>102</v>
      </c>
      <c r="E6" s="7" t="s">
        <v>62</v>
      </c>
      <c r="F6" s="10">
        <v>4477.333333333333</v>
      </c>
    </row>
    <row r="7" spans="1:6" x14ac:dyDescent="0.3">
      <c r="A7" s="6" t="s">
        <v>62</v>
      </c>
      <c r="B7">
        <v>103</v>
      </c>
      <c r="E7" s="7" t="s">
        <v>30</v>
      </c>
      <c r="F7" s="10">
        <v>3741.5</v>
      </c>
    </row>
    <row r="8" spans="1:6" x14ac:dyDescent="0.3">
      <c r="A8" s="6" t="s">
        <v>607</v>
      </c>
      <c r="B8">
        <v>5</v>
      </c>
      <c r="E8" s="6" t="s">
        <v>104</v>
      </c>
      <c r="F8" s="10">
        <v>4192.6000000000004</v>
      </c>
    </row>
    <row r="9" spans="1:6" x14ac:dyDescent="0.3">
      <c r="A9" s="6" t="s">
        <v>30</v>
      </c>
      <c r="B9">
        <v>107</v>
      </c>
      <c r="E9" s="7" t="s">
        <v>612</v>
      </c>
      <c r="F9" s="10">
        <v>6061</v>
      </c>
    </row>
    <row r="10" spans="1:6" x14ac:dyDescent="0.3">
      <c r="A10" s="6" t="s">
        <v>616</v>
      </c>
      <c r="B10">
        <v>339</v>
      </c>
      <c r="E10" s="7" t="s">
        <v>613</v>
      </c>
      <c r="F10" s="10">
        <v>3818</v>
      </c>
    </row>
    <row r="11" spans="1:6" x14ac:dyDescent="0.3">
      <c r="E11" s="7" t="s">
        <v>37</v>
      </c>
      <c r="F11" s="10">
        <v>3938.3333333333335</v>
      </c>
    </row>
    <row r="12" spans="1:6" x14ac:dyDescent="0.3">
      <c r="A12" s="28" t="s">
        <v>633</v>
      </c>
      <c r="E12" s="7" t="s">
        <v>62</v>
      </c>
      <c r="F12" s="10">
        <v>3272.6666666666665</v>
      </c>
    </row>
    <row r="13" spans="1:6" x14ac:dyDescent="0.3">
      <c r="E13" s="7" t="s">
        <v>30</v>
      </c>
      <c r="F13" s="10">
        <v>5207</v>
      </c>
    </row>
    <row r="14" spans="1:6" x14ac:dyDescent="0.3">
      <c r="E14" s="6" t="s">
        <v>219</v>
      </c>
      <c r="F14" s="10">
        <v>4178.333333333333</v>
      </c>
    </row>
    <row r="15" spans="1:6" x14ac:dyDescent="0.3">
      <c r="E15" s="7" t="s">
        <v>612</v>
      </c>
      <c r="F15" s="10">
        <v>5340</v>
      </c>
    </row>
    <row r="16" spans="1:6" x14ac:dyDescent="0.3">
      <c r="E16" s="7" t="s">
        <v>37</v>
      </c>
      <c r="F16" s="10">
        <v>3372.75</v>
      </c>
    </row>
    <row r="17" spans="5:6" x14ac:dyDescent="0.3">
      <c r="E17" s="7" t="s">
        <v>62</v>
      </c>
      <c r="F17" s="10">
        <v>4341</v>
      </c>
    </row>
    <row r="18" spans="5:6" x14ac:dyDescent="0.3">
      <c r="E18" s="7" t="s">
        <v>30</v>
      </c>
      <c r="F18" s="10">
        <v>4648.333333333333</v>
      </c>
    </row>
    <row r="19" spans="5:6" x14ac:dyDescent="0.3">
      <c r="E19" s="6" t="s">
        <v>65</v>
      </c>
      <c r="F19" s="10">
        <v>4070.2142857142858</v>
      </c>
    </row>
    <row r="20" spans="5:6" x14ac:dyDescent="0.3">
      <c r="E20" s="7" t="s">
        <v>613</v>
      </c>
      <c r="F20" s="10">
        <v>4234</v>
      </c>
    </row>
    <row r="21" spans="5:6" x14ac:dyDescent="0.3">
      <c r="E21" s="7" t="s">
        <v>37</v>
      </c>
      <c r="F21" s="10">
        <v>4296</v>
      </c>
    </row>
    <row r="22" spans="5:6" x14ac:dyDescent="0.3">
      <c r="E22" s="7" t="s">
        <v>62</v>
      </c>
      <c r="F22" s="10">
        <v>3928.2</v>
      </c>
    </row>
    <row r="23" spans="5:6" x14ac:dyDescent="0.3">
      <c r="E23" s="7" t="s">
        <v>607</v>
      </c>
      <c r="F23" s="10">
        <v>2830</v>
      </c>
    </row>
    <row r="24" spans="5:6" x14ac:dyDescent="0.3">
      <c r="E24" s="7" t="s">
        <v>30</v>
      </c>
      <c r="F24" s="10">
        <v>4399</v>
      </c>
    </row>
    <row r="25" spans="5:6" x14ac:dyDescent="0.3">
      <c r="E25" s="6" t="s">
        <v>46</v>
      </c>
      <c r="F25" s="10">
        <v>4033.2142857142858</v>
      </c>
    </row>
    <row r="26" spans="5:6" x14ac:dyDescent="0.3">
      <c r="E26" s="7" t="s">
        <v>37</v>
      </c>
      <c r="F26" s="10">
        <v>4531.333333333333</v>
      </c>
    </row>
    <row r="27" spans="5:6" x14ac:dyDescent="0.3">
      <c r="E27" s="7" t="s">
        <v>62</v>
      </c>
      <c r="F27" s="10">
        <v>3475.4</v>
      </c>
    </row>
    <row r="28" spans="5:6" x14ac:dyDescent="0.3">
      <c r="E28" s="7" t="s">
        <v>30</v>
      </c>
      <c r="F28" s="10">
        <v>3966.6666666666665</v>
      </c>
    </row>
    <row r="29" spans="5:6" x14ac:dyDescent="0.3">
      <c r="E29" s="6" t="s">
        <v>215</v>
      </c>
      <c r="F29" s="10">
        <v>3848.1538461538462</v>
      </c>
    </row>
    <row r="30" spans="5:6" x14ac:dyDescent="0.3">
      <c r="E30" s="6" t="s">
        <v>23</v>
      </c>
      <c r="F30" s="10">
        <v>3800.5</v>
      </c>
    </row>
    <row r="31" spans="5:6" x14ac:dyDescent="0.3">
      <c r="E31" s="6" t="s">
        <v>75</v>
      </c>
      <c r="F31" s="10">
        <v>3685</v>
      </c>
    </row>
    <row r="32" spans="5:6" x14ac:dyDescent="0.3">
      <c r="E32" s="7" t="s">
        <v>612</v>
      </c>
      <c r="F32" s="10">
        <v>2469</v>
      </c>
    </row>
    <row r="33" spans="5:6" x14ac:dyDescent="0.3">
      <c r="E33" s="7" t="s">
        <v>37</v>
      </c>
      <c r="F33" s="10">
        <v>5033</v>
      </c>
    </row>
    <row r="34" spans="5:6" x14ac:dyDescent="0.3">
      <c r="E34" s="7" t="s">
        <v>62</v>
      </c>
      <c r="F34" s="10">
        <v>4104</v>
      </c>
    </row>
    <row r="35" spans="5:6" x14ac:dyDescent="0.3">
      <c r="E35" s="7" t="s">
        <v>30</v>
      </c>
      <c r="F35" s="10">
        <v>3233</v>
      </c>
    </row>
    <row r="36" spans="5:6" x14ac:dyDescent="0.3">
      <c r="E36" s="6" t="s">
        <v>59</v>
      </c>
      <c r="F36" s="10">
        <v>3634.1785714285716</v>
      </c>
    </row>
    <row r="37" spans="5:6" x14ac:dyDescent="0.3">
      <c r="E37" s="6" t="s">
        <v>36</v>
      </c>
      <c r="F37" s="10">
        <v>3536.2105263157896</v>
      </c>
    </row>
    <row r="38" spans="5:6" x14ac:dyDescent="0.3">
      <c r="E38" s="6" t="s">
        <v>49</v>
      </c>
      <c r="F38" s="10">
        <v>3470</v>
      </c>
    </row>
    <row r="39" spans="5:6" x14ac:dyDescent="0.3">
      <c r="E39" s="6" t="s">
        <v>29</v>
      </c>
      <c r="F39" s="10">
        <v>3449.4285714285716</v>
      </c>
    </row>
    <row r="40" spans="5:6" x14ac:dyDescent="0.3">
      <c r="E40" s="6" t="s">
        <v>71</v>
      </c>
      <c r="F40" s="10">
        <v>3416.181818181818</v>
      </c>
    </row>
    <row r="41" spans="5:6" x14ac:dyDescent="0.3">
      <c r="E41" s="6" t="s">
        <v>145</v>
      </c>
      <c r="F41" s="10">
        <v>3409.1333333333332</v>
      </c>
    </row>
    <row r="42" spans="5:6" x14ac:dyDescent="0.3">
      <c r="E42" s="7" t="s">
        <v>612</v>
      </c>
      <c r="F42" s="10">
        <v>3661</v>
      </c>
    </row>
    <row r="43" spans="5:6" x14ac:dyDescent="0.3">
      <c r="E43" s="7" t="s">
        <v>37</v>
      </c>
      <c r="F43" s="10">
        <v>2631</v>
      </c>
    </row>
    <row r="44" spans="5:6" x14ac:dyDescent="0.3">
      <c r="E44" s="7" t="s">
        <v>62</v>
      </c>
      <c r="F44" s="10">
        <v>2882.6666666666665</v>
      </c>
    </row>
    <row r="45" spans="5:6" x14ac:dyDescent="0.3">
      <c r="E45" s="7" t="s">
        <v>607</v>
      </c>
      <c r="F45" s="10">
        <v>4129</v>
      </c>
    </row>
    <row r="46" spans="5:6" x14ac:dyDescent="0.3">
      <c r="E46" s="7" t="s">
        <v>30</v>
      </c>
      <c r="F46" s="10">
        <v>3492.375</v>
      </c>
    </row>
    <row r="47" spans="5:6" x14ac:dyDescent="0.3">
      <c r="E47" s="6" t="s">
        <v>53</v>
      </c>
      <c r="F47" s="10">
        <v>3365.5555555555557</v>
      </c>
    </row>
    <row r="48" spans="5:6" x14ac:dyDescent="0.3">
      <c r="E48" s="6" t="s">
        <v>82</v>
      </c>
      <c r="F48" s="10">
        <v>3357.2307692307691</v>
      </c>
    </row>
    <row r="49" spans="5:6" x14ac:dyDescent="0.3">
      <c r="E49" s="6" t="s">
        <v>113</v>
      </c>
      <c r="F49" s="10">
        <v>3262.5</v>
      </c>
    </row>
    <row r="50" spans="5:6" x14ac:dyDescent="0.3">
      <c r="E50" s="6" t="s">
        <v>149</v>
      </c>
      <c r="F50" s="10">
        <v>3175.7777777777778</v>
      </c>
    </row>
    <row r="51" spans="5:6" x14ac:dyDescent="0.3">
      <c r="E51" s="6" t="s">
        <v>88</v>
      </c>
      <c r="F51" s="10">
        <v>3055.8421052631579</v>
      </c>
    </row>
    <row r="52" spans="5:6" x14ac:dyDescent="0.3">
      <c r="E52" s="6" t="s">
        <v>17</v>
      </c>
      <c r="F52" s="10">
        <v>2956.75</v>
      </c>
    </row>
    <row r="53" spans="5:6" x14ac:dyDescent="0.3">
      <c r="E53" s="6" t="s">
        <v>68</v>
      </c>
      <c r="F53" s="10">
        <v>2928.25</v>
      </c>
    </row>
    <row r="54" spans="5:6" x14ac:dyDescent="0.3">
      <c r="E54" s="6" t="s">
        <v>132</v>
      </c>
      <c r="F54" s="10">
        <v>2899.818181818182</v>
      </c>
    </row>
    <row r="55" spans="5:6" x14ac:dyDescent="0.3">
      <c r="E55" s="6" t="s">
        <v>56</v>
      </c>
      <c r="F55" s="10">
        <v>2806.75</v>
      </c>
    </row>
    <row r="56" spans="5:6" x14ac:dyDescent="0.3">
      <c r="E56" s="6" t="s">
        <v>85</v>
      </c>
      <c r="F56" s="10">
        <v>2692.1428571428573</v>
      </c>
    </row>
    <row r="57" spans="5:6" x14ac:dyDescent="0.3">
      <c r="E57" s="7" t="s">
        <v>612</v>
      </c>
      <c r="F57" s="10">
        <v>1940</v>
      </c>
    </row>
    <row r="58" spans="5:6" x14ac:dyDescent="0.3">
      <c r="E58" s="7" t="s">
        <v>37</v>
      </c>
      <c r="F58" s="10">
        <v>3159.1666666666665</v>
      </c>
    </row>
    <row r="59" spans="5:6" x14ac:dyDescent="0.3">
      <c r="E59" s="7" t="s">
        <v>62</v>
      </c>
      <c r="F59" s="10">
        <v>2427.3333333333335</v>
      </c>
    </row>
    <row r="60" spans="5:6" x14ac:dyDescent="0.3">
      <c r="E60" s="7" t="s">
        <v>30</v>
      </c>
      <c r="F60" s="10">
        <v>2378.25</v>
      </c>
    </row>
    <row r="61" spans="5:6" x14ac:dyDescent="0.3">
      <c r="E61" s="6" t="s">
        <v>616</v>
      </c>
      <c r="F61" s="10">
        <v>3446.4601769911505</v>
      </c>
    </row>
  </sheetData>
  <mergeCells count="2">
    <mergeCell ref="A1:B1"/>
    <mergeCell ref="E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ECC39-900A-4456-875C-8528026191E7}">
  <dimension ref="B1:Q20"/>
  <sheetViews>
    <sheetView zoomScale="110" zoomScaleNormal="110" workbookViewId="0">
      <selection activeCell="G23" sqref="G23"/>
    </sheetView>
  </sheetViews>
  <sheetFormatPr defaultRowHeight="14.4" x14ac:dyDescent="0.3"/>
  <cols>
    <col min="2" max="2" width="12.5546875" bestFit="1" customWidth="1"/>
    <col min="3" max="3" width="14.77734375" bestFit="1" customWidth="1"/>
    <col min="4" max="4" width="16.21875" bestFit="1" customWidth="1"/>
    <col min="5" max="5" width="19.88671875" bestFit="1" customWidth="1"/>
  </cols>
  <sheetData>
    <row r="1" spans="2:17" x14ac:dyDescent="0.3">
      <c r="B1" s="100" t="s">
        <v>677</v>
      </c>
      <c r="C1" s="100"/>
      <c r="I1" s="66" t="s">
        <v>671</v>
      </c>
      <c r="J1" s="67"/>
      <c r="K1" s="67"/>
      <c r="L1" s="67"/>
      <c r="M1" s="67"/>
      <c r="N1" s="67"/>
      <c r="O1" s="67"/>
      <c r="P1" s="67"/>
      <c r="Q1" s="67"/>
    </row>
    <row r="3" spans="2:17" x14ac:dyDescent="0.3">
      <c r="B3" s="5" t="s">
        <v>615</v>
      </c>
      <c r="C3" t="s">
        <v>637</v>
      </c>
      <c r="D3" t="s">
        <v>643</v>
      </c>
      <c r="E3" t="s">
        <v>644</v>
      </c>
      <c r="I3" s="65" t="s">
        <v>672</v>
      </c>
    </row>
    <row r="4" spans="2:17" x14ac:dyDescent="0.3">
      <c r="B4" s="6" t="s">
        <v>43</v>
      </c>
      <c r="C4" s="10">
        <v>2859.8494623655915</v>
      </c>
      <c r="D4" s="10">
        <v>459.35483870967744</v>
      </c>
      <c r="E4" s="10">
        <v>278.01075268817203</v>
      </c>
      <c r="I4" s="65" t="s">
        <v>673</v>
      </c>
    </row>
    <row r="5" spans="2:17" x14ac:dyDescent="0.3">
      <c r="B5" s="7" t="s">
        <v>45</v>
      </c>
      <c r="C5" s="10">
        <v>3176.8571428571427</v>
      </c>
      <c r="D5" s="10">
        <v>528.57142857142856</v>
      </c>
      <c r="E5" s="10">
        <v>327.78571428571428</v>
      </c>
      <c r="I5" s="65" t="s">
        <v>674</v>
      </c>
    </row>
    <row r="6" spans="2:17" x14ac:dyDescent="0.3">
      <c r="B6" s="7" t="s">
        <v>52</v>
      </c>
      <c r="C6" s="10">
        <v>2859.75</v>
      </c>
      <c r="D6" s="10">
        <v>513.42857142857144</v>
      </c>
      <c r="E6" s="10">
        <v>261</v>
      </c>
      <c r="I6" s="65" t="s">
        <v>675</v>
      </c>
    </row>
    <row r="7" spans="2:17" x14ac:dyDescent="0.3">
      <c r="B7" s="7" t="s">
        <v>16</v>
      </c>
      <c r="C7" s="10">
        <v>3293</v>
      </c>
      <c r="D7" s="10">
        <v>510.64285714285717</v>
      </c>
      <c r="E7" s="10">
        <v>266.57142857142856</v>
      </c>
      <c r="I7" s="65" t="s">
        <v>676</v>
      </c>
    </row>
    <row r="8" spans="2:17" x14ac:dyDescent="0.3">
      <c r="B8" s="7" t="s">
        <v>35</v>
      </c>
      <c r="C8" s="10">
        <v>2673.181818181818</v>
      </c>
      <c r="D8" s="10">
        <v>450</v>
      </c>
      <c r="E8" s="10">
        <v>293</v>
      </c>
    </row>
    <row r="9" spans="2:17" x14ac:dyDescent="0.3">
      <c r="B9" s="7" t="s">
        <v>22</v>
      </c>
      <c r="C9" s="10">
        <v>2209.8125</v>
      </c>
      <c r="D9" s="10">
        <v>320.4375</v>
      </c>
      <c r="E9" s="10">
        <v>276.5</v>
      </c>
    </row>
    <row r="10" spans="2:17" x14ac:dyDescent="0.3">
      <c r="B10" s="7" t="s">
        <v>74</v>
      </c>
      <c r="C10" s="10">
        <v>3055.3</v>
      </c>
      <c r="D10" s="10">
        <v>371.8</v>
      </c>
      <c r="E10" s="10">
        <v>257.89999999999998</v>
      </c>
    </row>
    <row r="11" spans="2:17" x14ac:dyDescent="0.3">
      <c r="B11" s="6" t="s">
        <v>33</v>
      </c>
      <c r="C11" s="10">
        <v>2531.5113636363635</v>
      </c>
      <c r="D11" s="10">
        <v>529.125</v>
      </c>
      <c r="E11" s="10">
        <v>226.11363636363637</v>
      </c>
    </row>
    <row r="12" spans="2:17" x14ac:dyDescent="0.3">
      <c r="B12" s="7" t="s">
        <v>45</v>
      </c>
      <c r="C12" s="10">
        <v>2409.2631578947367</v>
      </c>
      <c r="D12" s="10">
        <v>415.94736842105266</v>
      </c>
      <c r="E12" s="10">
        <v>230.63157894736841</v>
      </c>
    </row>
    <row r="13" spans="2:17" x14ac:dyDescent="0.3">
      <c r="B13" s="7" t="s">
        <v>52</v>
      </c>
      <c r="C13" s="10">
        <v>3107</v>
      </c>
      <c r="D13" s="10">
        <v>460.69230769230768</v>
      </c>
      <c r="E13" s="10">
        <v>280.46153846153845</v>
      </c>
    </row>
    <row r="14" spans="2:17" x14ac:dyDescent="0.3">
      <c r="B14" s="7" t="s">
        <v>16</v>
      </c>
      <c r="C14" s="10">
        <v>2472.9230769230771</v>
      </c>
      <c r="D14" s="10">
        <v>623.84615384615381</v>
      </c>
      <c r="E14" s="10">
        <v>260.46153846153845</v>
      </c>
    </row>
    <row r="15" spans="2:17" x14ac:dyDescent="0.3">
      <c r="B15" s="7" t="s">
        <v>35</v>
      </c>
      <c r="C15" s="10">
        <v>2700.6842105263158</v>
      </c>
      <c r="D15" s="10">
        <v>610.0526315789474</v>
      </c>
      <c r="E15" s="10">
        <v>225.47368421052633</v>
      </c>
    </row>
    <row r="16" spans="2:17" x14ac:dyDescent="0.3">
      <c r="B16" s="7" t="s">
        <v>22</v>
      </c>
      <c r="C16" s="10">
        <v>2556.6999999999998</v>
      </c>
      <c r="D16" s="10">
        <v>511.2</v>
      </c>
      <c r="E16" s="10">
        <v>194.6</v>
      </c>
    </row>
    <row r="17" spans="2:5" x14ac:dyDescent="0.3">
      <c r="B17" s="7" t="s">
        <v>74</v>
      </c>
      <c r="C17" s="10">
        <v>1969.8571428571429</v>
      </c>
      <c r="D17" s="10">
        <v>561.28571428571433</v>
      </c>
      <c r="E17" s="10">
        <v>161</v>
      </c>
    </row>
    <row r="18" spans="2:5" x14ac:dyDescent="0.3">
      <c r="B18" s="6" t="s">
        <v>14</v>
      </c>
      <c r="C18" s="10">
        <v>2596.1847826086955</v>
      </c>
      <c r="D18" s="10">
        <v>414.76086956521738</v>
      </c>
      <c r="E18" s="10">
        <v>260.16304347826087</v>
      </c>
    </row>
    <row r="19" spans="2:5" x14ac:dyDescent="0.3">
      <c r="B19" s="6" t="s">
        <v>27</v>
      </c>
      <c r="C19" s="10">
        <v>2967.9848484848485</v>
      </c>
      <c r="D19" s="10">
        <v>504.63636363636363</v>
      </c>
      <c r="E19" s="10">
        <v>218.78787878787878</v>
      </c>
    </row>
    <row r="20" spans="2:5" x14ac:dyDescent="0.3">
      <c r="B20" s="6" t="s">
        <v>616</v>
      </c>
      <c r="C20" s="10">
        <v>2724.1150442477874</v>
      </c>
      <c r="D20" s="10">
        <v>474.17994100294987</v>
      </c>
      <c r="E20" s="10">
        <v>248.16519174041298</v>
      </c>
    </row>
  </sheetData>
  <mergeCells count="1">
    <mergeCell ref="B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>
      <selection activeCell="C6" sqref="C6"/>
    </sheetView>
  </sheetViews>
  <sheetFormatPr defaultColWidth="16.33203125" defaultRowHeight="15" customHeight="1" x14ac:dyDescent="0.3"/>
  <cols>
    <col min="1" max="1" width="17.5546875" style="3" customWidth="1"/>
    <col min="6" max="6" width="18.21875" customWidth="1"/>
    <col min="7" max="7" width="16.33203125" style="10"/>
    <col min="8" max="8" width="25" style="29" customWidth="1"/>
    <col min="9" max="9" width="16.33203125" style="10"/>
  </cols>
  <sheetData>
    <row r="1" spans="1:9" ht="14.4" x14ac:dyDescent="0.3">
      <c r="A1" s="70" t="s">
        <v>567</v>
      </c>
      <c r="B1" s="1" t="s">
        <v>1</v>
      </c>
      <c r="C1" s="1" t="s">
        <v>568</v>
      </c>
      <c r="D1" s="1" t="s">
        <v>569</v>
      </c>
      <c r="E1" s="1" t="s">
        <v>570</v>
      </c>
      <c r="F1" s="1" t="s">
        <v>571</v>
      </c>
      <c r="G1" s="55" t="s">
        <v>572</v>
      </c>
      <c r="H1" s="56" t="s">
        <v>639</v>
      </c>
      <c r="I1" s="72" t="s">
        <v>638</v>
      </c>
    </row>
    <row r="2" spans="1:9" ht="14.4" x14ac:dyDescent="0.3">
      <c r="A2" s="71" t="s">
        <v>232</v>
      </c>
      <c r="B2" s="2" t="s">
        <v>33</v>
      </c>
      <c r="C2" s="2">
        <v>1135</v>
      </c>
      <c r="D2" s="2">
        <v>88</v>
      </c>
      <c r="E2" s="2">
        <v>344084</v>
      </c>
      <c r="F2" s="2">
        <v>8.06</v>
      </c>
      <c r="G2" s="9">
        <v>5904</v>
      </c>
      <c r="H2" s="57">
        <f>((C2-D2)/E2)</f>
        <v>3.0428616268120576E-3</v>
      </c>
      <c r="I2" s="73">
        <f>C2-D2</f>
        <v>1047</v>
      </c>
    </row>
    <row r="3" spans="1:9" ht="14.4" x14ac:dyDescent="0.3">
      <c r="A3" s="71" t="s">
        <v>232</v>
      </c>
      <c r="B3" s="2" t="s">
        <v>43</v>
      </c>
      <c r="C3" s="2">
        <v>1312</v>
      </c>
      <c r="D3" s="2">
        <v>310</v>
      </c>
      <c r="E3" s="2">
        <v>42654</v>
      </c>
      <c r="F3" s="2">
        <v>4.9800000000000004</v>
      </c>
      <c r="G3" s="9">
        <v>9566</v>
      </c>
      <c r="H3" s="57">
        <f t="shared" ref="H3:H66" si="0">((C3-D3)/E3)</f>
        <v>2.3491348994232664E-2</v>
      </c>
      <c r="I3" s="73">
        <f t="shared" ref="I3:I66" si="1">C3-D3</f>
        <v>1002</v>
      </c>
    </row>
    <row r="4" spans="1:9" ht="14.4" x14ac:dyDescent="0.3">
      <c r="A4" s="71" t="s">
        <v>232</v>
      </c>
      <c r="B4" s="2" t="s">
        <v>14</v>
      </c>
      <c r="C4" s="2">
        <v>584</v>
      </c>
      <c r="D4" s="2">
        <v>169</v>
      </c>
      <c r="E4" s="2">
        <v>146834</v>
      </c>
      <c r="F4" s="2">
        <v>8.31</v>
      </c>
      <c r="G4" s="9">
        <v>26752</v>
      </c>
      <c r="H4" s="57">
        <f t="shared" si="0"/>
        <v>2.826320879360366E-3</v>
      </c>
      <c r="I4" s="73">
        <f t="shared" si="1"/>
        <v>415</v>
      </c>
    </row>
    <row r="5" spans="1:9" ht="14.4" x14ac:dyDescent="0.3">
      <c r="A5" s="71" t="s">
        <v>232</v>
      </c>
      <c r="B5" s="2" t="s">
        <v>27</v>
      </c>
      <c r="C5" s="2">
        <v>1535</v>
      </c>
      <c r="D5" s="2">
        <v>445</v>
      </c>
      <c r="E5" s="2">
        <v>395536</v>
      </c>
      <c r="F5" s="2">
        <v>4.1100000000000003</v>
      </c>
      <c r="G5" s="9">
        <v>30671</v>
      </c>
      <c r="H5" s="57">
        <f t="shared" si="0"/>
        <v>2.7557542170624167E-3</v>
      </c>
      <c r="I5" s="73">
        <f t="shared" si="1"/>
        <v>1090</v>
      </c>
    </row>
    <row r="6" spans="1:9" ht="14.4" x14ac:dyDescent="0.3">
      <c r="A6" s="71" t="s">
        <v>151</v>
      </c>
      <c r="B6" s="2" t="s">
        <v>33</v>
      </c>
      <c r="C6" s="2">
        <v>656</v>
      </c>
      <c r="D6" s="2">
        <v>139</v>
      </c>
      <c r="E6" s="2">
        <v>49157</v>
      </c>
      <c r="F6" s="2">
        <v>9.0500000000000007</v>
      </c>
      <c r="G6" s="9">
        <v>9920</v>
      </c>
      <c r="H6" s="57">
        <f t="shared" si="0"/>
        <v>1.0517322049758936E-2</v>
      </c>
      <c r="I6" s="73">
        <f t="shared" si="1"/>
        <v>517</v>
      </c>
    </row>
    <row r="7" spans="1:9" ht="14.4" x14ac:dyDescent="0.3">
      <c r="A7" s="71" t="s">
        <v>151</v>
      </c>
      <c r="B7" s="2" t="s">
        <v>43</v>
      </c>
      <c r="C7" s="2">
        <v>1697</v>
      </c>
      <c r="D7" s="2">
        <v>414</v>
      </c>
      <c r="E7" s="2">
        <v>316555</v>
      </c>
      <c r="F7" s="2">
        <v>2.37</v>
      </c>
      <c r="G7" s="9">
        <v>7924</v>
      </c>
      <c r="H7" s="57">
        <f t="shared" si="0"/>
        <v>4.0530081660374974E-3</v>
      </c>
      <c r="I7" s="73">
        <f t="shared" si="1"/>
        <v>1283</v>
      </c>
    </row>
    <row r="8" spans="1:9" ht="14.4" x14ac:dyDescent="0.3">
      <c r="A8" s="71" t="s">
        <v>151</v>
      </c>
      <c r="B8" s="2" t="s">
        <v>14</v>
      </c>
      <c r="C8" s="2">
        <v>436</v>
      </c>
      <c r="D8" s="2">
        <v>250</v>
      </c>
      <c r="E8" s="2">
        <v>254347</v>
      </c>
      <c r="F8" s="2">
        <v>4.01</v>
      </c>
      <c r="G8" s="9">
        <v>8912</v>
      </c>
      <c r="H8" s="57">
        <f t="shared" si="0"/>
        <v>7.3128442639386348E-4</v>
      </c>
      <c r="I8" s="73">
        <f t="shared" si="1"/>
        <v>186</v>
      </c>
    </row>
    <row r="9" spans="1:9" ht="14.4" x14ac:dyDescent="0.3">
      <c r="A9" s="71" t="s">
        <v>151</v>
      </c>
      <c r="B9" s="2" t="s">
        <v>27</v>
      </c>
      <c r="C9" s="2">
        <v>1197</v>
      </c>
      <c r="D9" s="2">
        <v>203</v>
      </c>
      <c r="E9" s="2">
        <v>413878</v>
      </c>
      <c r="F9" s="2">
        <v>3.16</v>
      </c>
      <c r="G9" s="9">
        <v>21205</v>
      </c>
      <c r="H9" s="57">
        <f t="shared" si="0"/>
        <v>2.4016739232334168E-3</v>
      </c>
      <c r="I9" s="73">
        <f t="shared" si="1"/>
        <v>994</v>
      </c>
    </row>
    <row r="10" spans="1:9" ht="14.4" x14ac:dyDescent="0.3">
      <c r="A10" s="71" t="s">
        <v>164</v>
      </c>
      <c r="B10" s="2" t="s">
        <v>33</v>
      </c>
      <c r="C10" s="2">
        <v>1048</v>
      </c>
      <c r="D10" s="2">
        <v>155</v>
      </c>
      <c r="E10" s="2">
        <v>456946</v>
      </c>
      <c r="F10" s="2">
        <v>2.46</v>
      </c>
      <c r="G10" s="9">
        <v>11329</v>
      </c>
      <c r="H10" s="57">
        <f t="shared" si="0"/>
        <v>1.9542790614208243E-3</v>
      </c>
      <c r="I10" s="73">
        <f t="shared" si="1"/>
        <v>893</v>
      </c>
    </row>
    <row r="11" spans="1:9" ht="14.4" x14ac:dyDescent="0.3">
      <c r="A11" s="71" t="s">
        <v>164</v>
      </c>
      <c r="B11" s="2" t="s">
        <v>43</v>
      </c>
      <c r="C11" s="2">
        <v>1753</v>
      </c>
      <c r="D11" s="2">
        <v>371</v>
      </c>
      <c r="E11" s="2">
        <v>169496</v>
      </c>
      <c r="F11" s="2">
        <v>8.11</v>
      </c>
      <c r="G11" s="9">
        <v>46670</v>
      </c>
      <c r="H11" s="57">
        <f t="shared" si="0"/>
        <v>8.1535847453627231E-3</v>
      </c>
      <c r="I11" s="73">
        <f t="shared" si="1"/>
        <v>1382</v>
      </c>
    </row>
    <row r="12" spans="1:9" ht="14.4" x14ac:dyDescent="0.3">
      <c r="A12" s="71" t="s">
        <v>164</v>
      </c>
      <c r="B12" s="2" t="s">
        <v>14</v>
      </c>
      <c r="C12" s="2">
        <v>1335</v>
      </c>
      <c r="D12" s="2">
        <v>40</v>
      </c>
      <c r="E12" s="2">
        <v>122732</v>
      </c>
      <c r="F12" s="2">
        <v>8.19</v>
      </c>
      <c r="G12" s="9">
        <v>22482</v>
      </c>
      <c r="H12" s="57">
        <f t="shared" si="0"/>
        <v>1.0551445425805821E-2</v>
      </c>
      <c r="I12" s="73">
        <f t="shared" si="1"/>
        <v>1295</v>
      </c>
    </row>
    <row r="13" spans="1:9" ht="14.4" x14ac:dyDescent="0.3">
      <c r="A13" s="71" t="s">
        <v>164</v>
      </c>
      <c r="B13" s="2" t="s">
        <v>27</v>
      </c>
      <c r="C13" s="2">
        <v>403</v>
      </c>
      <c r="D13" s="2">
        <v>66</v>
      </c>
      <c r="E13" s="2">
        <v>382851</v>
      </c>
      <c r="F13" s="2">
        <v>3.49</v>
      </c>
      <c r="G13" s="9">
        <v>24313</v>
      </c>
      <c r="H13" s="57">
        <f t="shared" si="0"/>
        <v>8.80238003818718E-4</v>
      </c>
      <c r="I13" s="73">
        <f t="shared" si="1"/>
        <v>337</v>
      </c>
    </row>
    <row r="14" spans="1:9" ht="14.4" x14ac:dyDescent="0.3">
      <c r="A14" s="71" t="s">
        <v>48</v>
      </c>
      <c r="B14" s="2" t="s">
        <v>33</v>
      </c>
      <c r="C14" s="2">
        <v>911</v>
      </c>
      <c r="D14" s="2">
        <v>282</v>
      </c>
      <c r="E14" s="2">
        <v>35664</v>
      </c>
      <c r="F14" s="2">
        <v>6.92</v>
      </c>
      <c r="G14" s="9">
        <v>18050</v>
      </c>
      <c r="H14" s="57">
        <f t="shared" si="0"/>
        <v>1.7636832660385824E-2</v>
      </c>
      <c r="I14" s="73">
        <f t="shared" si="1"/>
        <v>629</v>
      </c>
    </row>
    <row r="15" spans="1:9" ht="14.4" x14ac:dyDescent="0.3">
      <c r="A15" s="71" t="s">
        <v>48</v>
      </c>
      <c r="B15" s="2" t="s">
        <v>43</v>
      </c>
      <c r="C15" s="2">
        <v>1779</v>
      </c>
      <c r="D15" s="2">
        <v>109</v>
      </c>
      <c r="E15" s="2">
        <v>26295</v>
      </c>
      <c r="F15" s="2">
        <v>9.1199999999999992</v>
      </c>
      <c r="G15" s="9">
        <v>30635</v>
      </c>
      <c r="H15" s="57">
        <f t="shared" si="0"/>
        <v>6.3510173036698994E-2</v>
      </c>
      <c r="I15" s="73">
        <f t="shared" si="1"/>
        <v>1670</v>
      </c>
    </row>
    <row r="16" spans="1:9" ht="14.4" x14ac:dyDescent="0.3">
      <c r="A16" s="71" t="s">
        <v>48</v>
      </c>
      <c r="B16" s="2" t="s">
        <v>14</v>
      </c>
      <c r="C16" s="2">
        <v>1238</v>
      </c>
      <c r="D16" s="2">
        <v>403</v>
      </c>
      <c r="E16" s="2">
        <v>298421</v>
      </c>
      <c r="F16" s="2">
        <v>3.5</v>
      </c>
      <c r="G16" s="9">
        <v>31280</v>
      </c>
      <c r="H16" s="57">
        <f t="shared" si="0"/>
        <v>2.798060458211721E-3</v>
      </c>
      <c r="I16" s="73">
        <f t="shared" si="1"/>
        <v>835</v>
      </c>
    </row>
    <row r="17" spans="1:9" ht="14.4" x14ac:dyDescent="0.3">
      <c r="A17" s="71" t="s">
        <v>48</v>
      </c>
      <c r="B17" s="2" t="s">
        <v>27</v>
      </c>
      <c r="C17" s="2">
        <v>308</v>
      </c>
      <c r="D17" s="2">
        <v>431</v>
      </c>
      <c r="E17" s="2">
        <v>426184</v>
      </c>
      <c r="F17" s="2">
        <v>2.62</v>
      </c>
      <c r="G17" s="9">
        <v>1783</v>
      </c>
      <c r="H17" s="57">
        <f t="shared" si="0"/>
        <v>-2.8860773750305035E-4</v>
      </c>
      <c r="I17" s="73">
        <f t="shared" si="1"/>
        <v>-123</v>
      </c>
    </row>
    <row r="18" spans="1:9" ht="14.4" x14ac:dyDescent="0.3">
      <c r="A18" s="71" t="s">
        <v>455</v>
      </c>
      <c r="B18" s="2" t="s">
        <v>33</v>
      </c>
      <c r="C18" s="2">
        <v>226</v>
      </c>
      <c r="D18" s="2">
        <v>445</v>
      </c>
      <c r="E18" s="2">
        <v>419447</v>
      </c>
      <c r="F18" s="2">
        <v>9.36</v>
      </c>
      <c r="G18" s="9">
        <v>9566</v>
      </c>
      <c r="H18" s="57">
        <f t="shared" si="0"/>
        <v>-5.2211602419375983E-4</v>
      </c>
      <c r="I18" s="73">
        <f t="shared" si="1"/>
        <v>-219</v>
      </c>
    </row>
    <row r="19" spans="1:9" ht="14.4" x14ac:dyDescent="0.3">
      <c r="A19" s="71" t="s">
        <v>455</v>
      </c>
      <c r="B19" s="2" t="s">
        <v>43</v>
      </c>
      <c r="C19" s="2">
        <v>505</v>
      </c>
      <c r="D19" s="2">
        <v>441</v>
      </c>
      <c r="E19" s="2">
        <v>220020</v>
      </c>
      <c r="F19" s="2">
        <v>4.4800000000000004</v>
      </c>
      <c r="G19" s="9">
        <v>42307</v>
      </c>
      <c r="H19" s="57">
        <f t="shared" si="0"/>
        <v>2.9088264703208797E-4</v>
      </c>
      <c r="I19" s="73">
        <f t="shared" si="1"/>
        <v>64</v>
      </c>
    </row>
    <row r="20" spans="1:9" ht="14.4" x14ac:dyDescent="0.3">
      <c r="A20" s="71" t="s">
        <v>455</v>
      </c>
      <c r="B20" s="2" t="s">
        <v>14</v>
      </c>
      <c r="C20" s="2">
        <v>1420</v>
      </c>
      <c r="D20" s="2">
        <v>63</v>
      </c>
      <c r="E20" s="2">
        <v>315305</v>
      </c>
      <c r="F20" s="2">
        <v>6.19</v>
      </c>
      <c r="G20" s="9">
        <v>5914</v>
      </c>
      <c r="H20" s="57">
        <f t="shared" si="0"/>
        <v>4.3037693661692649E-3</v>
      </c>
      <c r="I20" s="73">
        <f t="shared" si="1"/>
        <v>1357</v>
      </c>
    </row>
    <row r="21" spans="1:9" ht="15.75" customHeight="1" x14ac:dyDescent="0.3">
      <c r="A21" s="71" t="s">
        <v>455</v>
      </c>
      <c r="B21" s="2" t="s">
        <v>27</v>
      </c>
      <c r="C21" s="2">
        <v>144</v>
      </c>
      <c r="D21" s="2">
        <v>53</v>
      </c>
      <c r="E21" s="2">
        <v>113678</v>
      </c>
      <c r="F21" s="2">
        <v>8.7200000000000006</v>
      </c>
      <c r="G21" s="9">
        <v>30060</v>
      </c>
      <c r="H21" s="57">
        <f t="shared" si="0"/>
        <v>8.0050669434719116E-4</v>
      </c>
      <c r="I21" s="73">
        <f t="shared" si="1"/>
        <v>91</v>
      </c>
    </row>
    <row r="22" spans="1:9" ht="15.75" customHeight="1" x14ac:dyDescent="0.3">
      <c r="A22" s="71" t="s">
        <v>573</v>
      </c>
      <c r="B22" s="2" t="s">
        <v>33</v>
      </c>
      <c r="C22" s="2">
        <v>1757</v>
      </c>
      <c r="D22" s="2">
        <v>85</v>
      </c>
      <c r="E22" s="2">
        <v>58223</v>
      </c>
      <c r="F22" s="2">
        <v>8.74</v>
      </c>
      <c r="G22" s="9">
        <v>22728</v>
      </c>
      <c r="H22" s="57">
        <f t="shared" si="0"/>
        <v>2.8717173625543171E-2</v>
      </c>
      <c r="I22" s="73">
        <f t="shared" si="1"/>
        <v>1672</v>
      </c>
    </row>
    <row r="23" spans="1:9" ht="15.75" customHeight="1" x14ac:dyDescent="0.3">
      <c r="A23" s="71" t="s">
        <v>573</v>
      </c>
      <c r="B23" s="2" t="s">
        <v>43</v>
      </c>
      <c r="C23" s="2">
        <v>350</v>
      </c>
      <c r="D23" s="2">
        <v>41</v>
      </c>
      <c r="E23" s="2">
        <v>251694</v>
      </c>
      <c r="F23" s="2">
        <v>1.91</v>
      </c>
      <c r="G23" s="9">
        <v>38610</v>
      </c>
      <c r="H23" s="57">
        <f t="shared" si="0"/>
        <v>1.2276812319721568E-3</v>
      </c>
      <c r="I23" s="73">
        <f t="shared" si="1"/>
        <v>309</v>
      </c>
    </row>
    <row r="24" spans="1:9" ht="15.75" customHeight="1" x14ac:dyDescent="0.3">
      <c r="A24" s="71" t="s">
        <v>573</v>
      </c>
      <c r="B24" s="2" t="s">
        <v>14</v>
      </c>
      <c r="C24" s="2">
        <v>987</v>
      </c>
      <c r="D24" s="2">
        <v>440</v>
      </c>
      <c r="E24" s="2">
        <v>389810</v>
      </c>
      <c r="F24" s="2">
        <v>4.66</v>
      </c>
      <c r="G24" s="9">
        <v>2932</v>
      </c>
      <c r="H24" s="57">
        <f t="shared" si="0"/>
        <v>1.40324773607655E-3</v>
      </c>
      <c r="I24" s="73">
        <f t="shared" si="1"/>
        <v>547</v>
      </c>
    </row>
    <row r="25" spans="1:9" ht="15.75" customHeight="1" x14ac:dyDescent="0.3">
      <c r="A25" s="71" t="s">
        <v>573</v>
      </c>
      <c r="B25" s="2" t="s">
        <v>27</v>
      </c>
      <c r="C25" s="2">
        <v>883</v>
      </c>
      <c r="D25" s="2">
        <v>369</v>
      </c>
      <c r="E25" s="2">
        <v>233694</v>
      </c>
      <c r="F25" s="2">
        <v>2.88</v>
      </c>
      <c r="G25" s="9">
        <v>15071</v>
      </c>
      <c r="H25" s="57">
        <f t="shared" si="0"/>
        <v>2.1994574101175039E-3</v>
      </c>
      <c r="I25" s="73">
        <f t="shared" si="1"/>
        <v>514</v>
      </c>
    </row>
    <row r="26" spans="1:9" ht="15.75" customHeight="1" x14ac:dyDescent="0.3">
      <c r="A26" s="71" t="s">
        <v>315</v>
      </c>
      <c r="B26" s="2" t="s">
        <v>33</v>
      </c>
      <c r="C26" s="2">
        <v>1960</v>
      </c>
      <c r="D26" s="2">
        <v>115</v>
      </c>
      <c r="E26" s="2">
        <v>154169</v>
      </c>
      <c r="F26" s="2">
        <v>3.74</v>
      </c>
      <c r="G26" s="9">
        <v>10740</v>
      </c>
      <c r="H26" s="57">
        <f t="shared" si="0"/>
        <v>1.1967386439556591E-2</v>
      </c>
      <c r="I26" s="73">
        <f t="shared" si="1"/>
        <v>1845</v>
      </c>
    </row>
    <row r="27" spans="1:9" ht="15.75" customHeight="1" x14ac:dyDescent="0.3">
      <c r="A27" s="71" t="s">
        <v>315</v>
      </c>
      <c r="B27" s="2" t="s">
        <v>43</v>
      </c>
      <c r="C27" s="2">
        <v>170</v>
      </c>
      <c r="D27" s="2">
        <v>334</v>
      </c>
      <c r="E27" s="2">
        <v>334626</v>
      </c>
      <c r="F27" s="2">
        <v>6.44</v>
      </c>
      <c r="G27" s="9">
        <v>43420</v>
      </c>
      <c r="H27" s="57">
        <f t="shared" si="0"/>
        <v>-4.9009939454794306E-4</v>
      </c>
      <c r="I27" s="73">
        <f t="shared" si="1"/>
        <v>-164</v>
      </c>
    </row>
    <row r="28" spans="1:9" ht="15.75" customHeight="1" x14ac:dyDescent="0.3">
      <c r="A28" s="71" t="s">
        <v>315</v>
      </c>
      <c r="B28" s="2" t="s">
        <v>14</v>
      </c>
      <c r="C28" s="2">
        <v>704</v>
      </c>
      <c r="D28" s="2">
        <v>275</v>
      </c>
      <c r="E28" s="2">
        <v>226002</v>
      </c>
      <c r="F28" s="2">
        <v>8.56</v>
      </c>
      <c r="G28" s="9">
        <v>32393</v>
      </c>
      <c r="H28" s="57">
        <f t="shared" si="0"/>
        <v>1.8982132901478749E-3</v>
      </c>
      <c r="I28" s="73">
        <f t="shared" si="1"/>
        <v>429</v>
      </c>
    </row>
    <row r="29" spans="1:9" ht="15.75" customHeight="1" x14ac:dyDescent="0.3">
      <c r="A29" s="71" t="s">
        <v>315</v>
      </c>
      <c r="B29" s="2" t="s">
        <v>27</v>
      </c>
      <c r="C29" s="2">
        <v>224</v>
      </c>
      <c r="D29" s="2">
        <v>64</v>
      </c>
      <c r="E29" s="2">
        <v>156683</v>
      </c>
      <c r="F29" s="2">
        <v>4.5599999999999996</v>
      </c>
      <c r="G29" s="9">
        <v>28474</v>
      </c>
      <c r="H29" s="57">
        <f t="shared" si="0"/>
        <v>1.0211701333265254E-3</v>
      </c>
      <c r="I29" s="73">
        <f t="shared" si="1"/>
        <v>160</v>
      </c>
    </row>
    <row r="30" spans="1:9" ht="15.75" customHeight="1" x14ac:dyDescent="0.3">
      <c r="A30" s="71" t="s">
        <v>574</v>
      </c>
      <c r="B30" s="2" t="s">
        <v>33</v>
      </c>
      <c r="C30" s="2">
        <v>508</v>
      </c>
      <c r="D30" s="2">
        <v>349</v>
      </c>
      <c r="E30" s="2">
        <v>473812</v>
      </c>
      <c r="F30" s="2">
        <v>7.88</v>
      </c>
      <c r="G30" s="9">
        <v>17328</v>
      </c>
      <c r="H30" s="57">
        <f t="shared" si="0"/>
        <v>3.3557613568250698E-4</v>
      </c>
      <c r="I30" s="73">
        <f t="shared" si="1"/>
        <v>159</v>
      </c>
    </row>
    <row r="31" spans="1:9" ht="15.75" customHeight="1" x14ac:dyDescent="0.3">
      <c r="A31" s="71" t="s">
        <v>574</v>
      </c>
      <c r="B31" s="2" t="s">
        <v>43</v>
      </c>
      <c r="C31" s="2">
        <v>1391</v>
      </c>
      <c r="D31" s="2">
        <v>430</v>
      </c>
      <c r="E31" s="2">
        <v>295032</v>
      </c>
      <c r="F31" s="2">
        <v>7.86</v>
      </c>
      <c r="G31" s="9">
        <v>26067</v>
      </c>
      <c r="H31" s="57">
        <f t="shared" si="0"/>
        <v>3.2572737872501967E-3</v>
      </c>
      <c r="I31" s="73">
        <f t="shared" si="1"/>
        <v>961</v>
      </c>
    </row>
    <row r="32" spans="1:9" ht="15.75" customHeight="1" x14ac:dyDescent="0.3">
      <c r="A32" s="71" t="s">
        <v>574</v>
      </c>
      <c r="B32" s="2" t="s">
        <v>14</v>
      </c>
      <c r="C32" s="2">
        <v>1701</v>
      </c>
      <c r="D32" s="2">
        <v>385</v>
      </c>
      <c r="E32" s="2">
        <v>198278</v>
      </c>
      <c r="F32" s="2">
        <v>5.34</v>
      </c>
      <c r="G32" s="9">
        <v>32763</v>
      </c>
      <c r="H32" s="57">
        <f t="shared" si="0"/>
        <v>6.6371458255580548E-3</v>
      </c>
      <c r="I32" s="73">
        <f t="shared" si="1"/>
        <v>1316</v>
      </c>
    </row>
    <row r="33" spans="1:9" ht="15.75" customHeight="1" x14ac:dyDescent="0.3">
      <c r="A33" s="71" t="s">
        <v>574</v>
      </c>
      <c r="B33" s="2" t="s">
        <v>27</v>
      </c>
      <c r="C33" s="2">
        <v>804</v>
      </c>
      <c r="D33" s="2">
        <v>487</v>
      </c>
      <c r="E33" s="2">
        <v>306564</v>
      </c>
      <c r="F33" s="2">
        <v>5.52</v>
      </c>
      <c r="G33" s="9">
        <v>26452</v>
      </c>
      <c r="H33" s="57">
        <f t="shared" si="0"/>
        <v>1.0340418313957282E-3</v>
      </c>
      <c r="I33" s="73">
        <f t="shared" si="1"/>
        <v>317</v>
      </c>
    </row>
    <row r="34" spans="1:9" ht="15.75" customHeight="1" x14ac:dyDescent="0.3">
      <c r="A34" s="71" t="s">
        <v>268</v>
      </c>
      <c r="B34" s="2" t="s">
        <v>33</v>
      </c>
      <c r="C34" s="2">
        <v>653</v>
      </c>
      <c r="D34" s="2">
        <v>112</v>
      </c>
      <c r="E34" s="2">
        <v>23664</v>
      </c>
      <c r="F34" s="2">
        <v>4.05</v>
      </c>
      <c r="G34" s="9">
        <v>15353</v>
      </c>
      <c r="H34" s="57">
        <f t="shared" si="0"/>
        <v>2.2861730899256253E-2</v>
      </c>
      <c r="I34" s="73">
        <f t="shared" si="1"/>
        <v>541</v>
      </c>
    </row>
    <row r="35" spans="1:9" ht="15.75" customHeight="1" x14ac:dyDescent="0.3">
      <c r="A35" s="71" t="s">
        <v>268</v>
      </c>
      <c r="B35" s="2" t="s">
        <v>43</v>
      </c>
      <c r="C35" s="2">
        <v>160</v>
      </c>
      <c r="D35" s="2">
        <v>478</v>
      </c>
      <c r="E35" s="2">
        <v>435034</v>
      </c>
      <c r="F35" s="2">
        <v>7.73</v>
      </c>
      <c r="G35" s="9">
        <v>4839</v>
      </c>
      <c r="H35" s="57">
        <f t="shared" si="0"/>
        <v>-7.3097734889686784E-4</v>
      </c>
      <c r="I35" s="73">
        <f t="shared" si="1"/>
        <v>-318</v>
      </c>
    </row>
    <row r="36" spans="1:9" ht="15.75" customHeight="1" x14ac:dyDescent="0.3">
      <c r="A36" s="71" t="s">
        <v>268</v>
      </c>
      <c r="B36" s="2" t="s">
        <v>14</v>
      </c>
      <c r="C36" s="2">
        <v>1756</v>
      </c>
      <c r="D36" s="2">
        <v>261</v>
      </c>
      <c r="E36" s="2">
        <v>287574</v>
      </c>
      <c r="F36" s="2">
        <v>4.3600000000000003</v>
      </c>
      <c r="G36" s="9">
        <v>39272</v>
      </c>
      <c r="H36" s="57">
        <f t="shared" si="0"/>
        <v>5.1986619096302169E-3</v>
      </c>
      <c r="I36" s="73">
        <f t="shared" si="1"/>
        <v>1495</v>
      </c>
    </row>
    <row r="37" spans="1:9" ht="15.75" customHeight="1" x14ac:dyDescent="0.3">
      <c r="A37" s="71" t="s">
        <v>268</v>
      </c>
      <c r="B37" s="2" t="s">
        <v>27</v>
      </c>
      <c r="C37" s="2">
        <v>576</v>
      </c>
      <c r="D37" s="2">
        <v>101</v>
      </c>
      <c r="E37" s="2">
        <v>62499</v>
      </c>
      <c r="F37" s="2">
        <v>3.48</v>
      </c>
      <c r="G37" s="9">
        <v>16804</v>
      </c>
      <c r="H37" s="57">
        <f t="shared" si="0"/>
        <v>7.600121601945631E-3</v>
      </c>
      <c r="I37" s="73">
        <f t="shared" si="1"/>
        <v>475</v>
      </c>
    </row>
    <row r="38" spans="1:9" ht="15.75" customHeight="1" x14ac:dyDescent="0.3">
      <c r="A38" s="71" t="s">
        <v>501</v>
      </c>
      <c r="B38" s="2" t="s">
        <v>33</v>
      </c>
      <c r="C38" s="2">
        <v>645</v>
      </c>
      <c r="D38" s="2">
        <v>293</v>
      </c>
      <c r="E38" s="2">
        <v>437968</v>
      </c>
      <c r="F38" s="2">
        <v>7.83</v>
      </c>
      <c r="G38" s="9">
        <v>49303</v>
      </c>
      <c r="H38" s="57">
        <f t="shared" si="0"/>
        <v>8.0371168669857163E-4</v>
      </c>
      <c r="I38" s="73">
        <f t="shared" si="1"/>
        <v>352</v>
      </c>
    </row>
    <row r="39" spans="1:9" ht="15.75" customHeight="1" x14ac:dyDescent="0.3">
      <c r="A39" s="71" t="s">
        <v>501</v>
      </c>
      <c r="B39" s="2" t="s">
        <v>43</v>
      </c>
      <c r="C39" s="2">
        <v>214</v>
      </c>
      <c r="D39" s="2">
        <v>411</v>
      </c>
      <c r="E39" s="2">
        <v>125034</v>
      </c>
      <c r="F39" s="2">
        <v>6.11</v>
      </c>
      <c r="G39" s="9">
        <v>26455</v>
      </c>
      <c r="H39" s="57">
        <f t="shared" si="0"/>
        <v>-1.5755714445670778E-3</v>
      </c>
      <c r="I39" s="73">
        <f t="shared" si="1"/>
        <v>-197</v>
      </c>
    </row>
    <row r="40" spans="1:9" ht="15.75" customHeight="1" x14ac:dyDescent="0.3">
      <c r="A40" s="71" t="s">
        <v>501</v>
      </c>
      <c r="B40" s="2" t="s">
        <v>14</v>
      </c>
      <c r="C40" s="2">
        <v>826</v>
      </c>
      <c r="D40" s="2">
        <v>498</v>
      </c>
      <c r="E40" s="2">
        <v>449994</v>
      </c>
      <c r="F40" s="2">
        <v>9.43</v>
      </c>
      <c r="G40" s="9">
        <v>12384</v>
      </c>
      <c r="H40" s="57">
        <f t="shared" si="0"/>
        <v>7.2889860753698943E-4</v>
      </c>
      <c r="I40" s="73">
        <f t="shared" si="1"/>
        <v>328</v>
      </c>
    </row>
    <row r="41" spans="1:9" ht="15.75" customHeight="1" x14ac:dyDescent="0.3">
      <c r="A41" s="71" t="s">
        <v>501</v>
      </c>
      <c r="B41" s="2" t="s">
        <v>27</v>
      </c>
      <c r="C41" s="2">
        <v>460</v>
      </c>
      <c r="D41" s="2">
        <v>141</v>
      </c>
      <c r="E41" s="2">
        <v>320650</v>
      </c>
      <c r="F41" s="2">
        <v>4.04</v>
      </c>
      <c r="G41" s="9">
        <v>49372</v>
      </c>
      <c r="H41" s="57">
        <f t="shared" si="0"/>
        <v>9.9485420240137223E-4</v>
      </c>
      <c r="I41" s="73">
        <f t="shared" si="1"/>
        <v>319</v>
      </c>
    </row>
    <row r="42" spans="1:9" ht="15.75" customHeight="1" x14ac:dyDescent="0.3">
      <c r="A42" s="71" t="s">
        <v>34</v>
      </c>
      <c r="B42" s="2" t="s">
        <v>33</v>
      </c>
      <c r="C42" s="2">
        <v>1528</v>
      </c>
      <c r="D42" s="2">
        <v>203</v>
      </c>
      <c r="E42" s="2">
        <v>489188</v>
      </c>
      <c r="F42" s="2">
        <v>6.23</v>
      </c>
      <c r="G42" s="9">
        <v>47101</v>
      </c>
      <c r="H42" s="57">
        <f t="shared" si="0"/>
        <v>2.7085701202809553E-3</v>
      </c>
      <c r="I42" s="73">
        <f t="shared" si="1"/>
        <v>1325</v>
      </c>
    </row>
    <row r="43" spans="1:9" ht="15.75" customHeight="1" x14ac:dyDescent="0.3">
      <c r="A43" s="71" t="s">
        <v>34</v>
      </c>
      <c r="B43" s="2" t="s">
        <v>43</v>
      </c>
      <c r="C43" s="2">
        <v>1534</v>
      </c>
      <c r="D43" s="2">
        <v>200</v>
      </c>
      <c r="E43" s="2">
        <v>307612</v>
      </c>
      <c r="F43" s="2">
        <v>6.01</v>
      </c>
      <c r="G43" s="9">
        <v>37903</v>
      </c>
      <c r="H43" s="57">
        <f t="shared" si="0"/>
        <v>4.3366318609156986E-3</v>
      </c>
      <c r="I43" s="73">
        <f t="shared" si="1"/>
        <v>1334</v>
      </c>
    </row>
    <row r="44" spans="1:9" ht="15.75" customHeight="1" x14ac:dyDescent="0.3">
      <c r="A44" s="71" t="s">
        <v>34</v>
      </c>
      <c r="B44" s="2" t="s">
        <v>14</v>
      </c>
      <c r="C44" s="2">
        <v>485</v>
      </c>
      <c r="D44" s="2">
        <v>448</v>
      </c>
      <c r="E44" s="2">
        <v>434883</v>
      </c>
      <c r="F44" s="2">
        <v>8.5500000000000007</v>
      </c>
      <c r="G44" s="9">
        <v>33258</v>
      </c>
      <c r="H44" s="57">
        <f t="shared" si="0"/>
        <v>8.5080354946042954E-5</v>
      </c>
      <c r="I44" s="73">
        <f t="shared" si="1"/>
        <v>37</v>
      </c>
    </row>
    <row r="45" spans="1:9" ht="15.75" customHeight="1" x14ac:dyDescent="0.3">
      <c r="A45" s="71" t="s">
        <v>34</v>
      </c>
      <c r="B45" s="2" t="s">
        <v>27</v>
      </c>
      <c r="C45" s="2">
        <v>1210</v>
      </c>
      <c r="D45" s="2">
        <v>178</v>
      </c>
      <c r="E45" s="2">
        <v>102042</v>
      </c>
      <c r="F45" s="2">
        <v>5.42</v>
      </c>
      <c r="G45" s="9">
        <v>6915</v>
      </c>
      <c r="H45" s="57">
        <f t="shared" si="0"/>
        <v>1.011348268360087E-2</v>
      </c>
      <c r="I45" s="73">
        <f t="shared" si="1"/>
        <v>1032</v>
      </c>
    </row>
    <row r="46" spans="1:9" ht="15.75" customHeight="1" x14ac:dyDescent="0.3">
      <c r="A46" s="71" t="s">
        <v>81</v>
      </c>
      <c r="B46" s="2" t="s">
        <v>33</v>
      </c>
      <c r="C46" s="2">
        <v>215</v>
      </c>
      <c r="D46" s="2">
        <v>139</v>
      </c>
      <c r="E46" s="2">
        <v>325444</v>
      </c>
      <c r="F46" s="2">
        <v>3.25</v>
      </c>
      <c r="G46" s="9">
        <v>35501</v>
      </c>
      <c r="H46" s="57">
        <f t="shared" si="0"/>
        <v>2.335271198731579E-4</v>
      </c>
      <c r="I46" s="73">
        <f t="shared" si="1"/>
        <v>76</v>
      </c>
    </row>
    <row r="47" spans="1:9" ht="15.75" customHeight="1" x14ac:dyDescent="0.3">
      <c r="A47" s="71" t="s">
        <v>81</v>
      </c>
      <c r="B47" s="2" t="s">
        <v>43</v>
      </c>
      <c r="C47" s="2">
        <v>1078</v>
      </c>
      <c r="D47" s="2">
        <v>20</v>
      </c>
      <c r="E47" s="2">
        <v>183924</v>
      </c>
      <c r="F47" s="2">
        <v>8.84</v>
      </c>
      <c r="G47" s="9">
        <v>14203</v>
      </c>
      <c r="H47" s="57">
        <f t="shared" si="0"/>
        <v>5.7523759813836147E-3</v>
      </c>
      <c r="I47" s="73">
        <f t="shared" si="1"/>
        <v>1058</v>
      </c>
    </row>
    <row r="48" spans="1:9" ht="15.75" customHeight="1" x14ac:dyDescent="0.3">
      <c r="A48" s="71" t="s">
        <v>81</v>
      </c>
      <c r="B48" s="2" t="s">
        <v>14</v>
      </c>
      <c r="C48" s="2">
        <v>1751</v>
      </c>
      <c r="D48" s="2">
        <v>86</v>
      </c>
      <c r="E48" s="2">
        <v>188655</v>
      </c>
      <c r="F48" s="2">
        <v>7.24</v>
      </c>
      <c r="G48" s="9">
        <v>22206</v>
      </c>
      <c r="H48" s="57">
        <f t="shared" si="0"/>
        <v>8.825634093981077E-3</v>
      </c>
      <c r="I48" s="73">
        <f t="shared" si="1"/>
        <v>1665</v>
      </c>
    </row>
    <row r="49" spans="1:9" ht="15.75" customHeight="1" x14ac:dyDescent="0.3">
      <c r="A49" s="71" t="s">
        <v>81</v>
      </c>
      <c r="B49" s="2" t="s">
        <v>27</v>
      </c>
      <c r="C49" s="2">
        <v>221</v>
      </c>
      <c r="D49" s="2">
        <v>31</v>
      </c>
      <c r="E49" s="2">
        <v>87443</v>
      </c>
      <c r="F49" s="2">
        <v>6.19</v>
      </c>
      <c r="G49" s="9">
        <v>10283</v>
      </c>
      <c r="H49" s="57">
        <f t="shared" si="0"/>
        <v>2.1728440241071327E-3</v>
      </c>
      <c r="I49" s="73">
        <f t="shared" si="1"/>
        <v>190</v>
      </c>
    </row>
    <row r="50" spans="1:9" ht="15.75" customHeight="1" x14ac:dyDescent="0.3">
      <c r="A50" s="71" t="s">
        <v>77</v>
      </c>
      <c r="B50" s="2" t="s">
        <v>33</v>
      </c>
      <c r="C50" s="2">
        <v>1685</v>
      </c>
      <c r="D50" s="2">
        <v>76</v>
      </c>
      <c r="E50" s="2">
        <v>453799</v>
      </c>
      <c r="F50" s="2">
        <v>5.71</v>
      </c>
      <c r="G50" s="9">
        <v>24913</v>
      </c>
      <c r="H50" s="57">
        <f t="shared" si="0"/>
        <v>3.5456226214689766E-3</v>
      </c>
      <c r="I50" s="73">
        <f t="shared" si="1"/>
        <v>1609</v>
      </c>
    </row>
    <row r="51" spans="1:9" ht="15.75" customHeight="1" x14ac:dyDescent="0.3">
      <c r="A51" s="71" t="s">
        <v>77</v>
      </c>
      <c r="B51" s="2" t="s">
        <v>43</v>
      </c>
      <c r="C51" s="2">
        <v>248</v>
      </c>
      <c r="D51" s="2">
        <v>211</v>
      </c>
      <c r="E51" s="2">
        <v>379380</v>
      </c>
      <c r="F51" s="2">
        <v>9.0399999999999991</v>
      </c>
      <c r="G51" s="9">
        <v>26925</v>
      </c>
      <c r="H51" s="57">
        <f t="shared" si="0"/>
        <v>9.7527544941747058E-5</v>
      </c>
      <c r="I51" s="73">
        <f t="shared" si="1"/>
        <v>37</v>
      </c>
    </row>
    <row r="52" spans="1:9" ht="15.75" customHeight="1" x14ac:dyDescent="0.3">
      <c r="A52" s="71" t="s">
        <v>77</v>
      </c>
      <c r="B52" s="2" t="s">
        <v>14</v>
      </c>
      <c r="C52" s="2">
        <v>1300</v>
      </c>
      <c r="D52" s="2">
        <v>71</v>
      </c>
      <c r="E52" s="2">
        <v>186454</v>
      </c>
      <c r="F52" s="2">
        <v>3.91</v>
      </c>
      <c r="G52" s="9">
        <v>9942</v>
      </c>
      <c r="H52" s="57">
        <f t="shared" si="0"/>
        <v>6.5914381026955706E-3</v>
      </c>
      <c r="I52" s="73">
        <f t="shared" si="1"/>
        <v>1229</v>
      </c>
    </row>
    <row r="53" spans="1:9" ht="15.75" customHeight="1" x14ac:dyDescent="0.3">
      <c r="A53" s="71" t="s">
        <v>77</v>
      </c>
      <c r="B53" s="2" t="s">
        <v>27</v>
      </c>
      <c r="C53" s="2">
        <v>422</v>
      </c>
      <c r="D53" s="2">
        <v>394</v>
      </c>
      <c r="E53" s="2">
        <v>239044</v>
      </c>
      <c r="F53" s="2">
        <v>7.83</v>
      </c>
      <c r="G53" s="9">
        <v>32929</v>
      </c>
      <c r="H53" s="57">
        <f t="shared" si="0"/>
        <v>1.1713324743561855E-4</v>
      </c>
      <c r="I53" s="73">
        <f t="shared" si="1"/>
        <v>28</v>
      </c>
    </row>
    <row r="54" spans="1:9" ht="15.75" customHeight="1" x14ac:dyDescent="0.3">
      <c r="A54" s="71" t="s">
        <v>195</v>
      </c>
      <c r="B54" s="2" t="s">
        <v>33</v>
      </c>
      <c r="C54" s="2">
        <v>1429</v>
      </c>
      <c r="D54" s="2">
        <v>182</v>
      </c>
      <c r="E54" s="2">
        <v>101332</v>
      </c>
      <c r="F54" s="2">
        <v>7.16</v>
      </c>
      <c r="G54" s="9">
        <v>37829</v>
      </c>
      <c r="H54" s="57">
        <f t="shared" si="0"/>
        <v>1.2306082974775983E-2</v>
      </c>
      <c r="I54" s="73">
        <f t="shared" si="1"/>
        <v>1247</v>
      </c>
    </row>
    <row r="55" spans="1:9" ht="15.75" customHeight="1" x14ac:dyDescent="0.3">
      <c r="A55" s="71" t="s">
        <v>195</v>
      </c>
      <c r="B55" s="2" t="s">
        <v>43</v>
      </c>
      <c r="C55" s="2">
        <v>1520</v>
      </c>
      <c r="D55" s="2">
        <v>475</v>
      </c>
      <c r="E55" s="2">
        <v>496982</v>
      </c>
      <c r="F55" s="2">
        <v>6.41</v>
      </c>
      <c r="G55" s="9">
        <v>24384</v>
      </c>
      <c r="H55" s="57">
        <f t="shared" si="0"/>
        <v>2.1026918479944948E-3</v>
      </c>
      <c r="I55" s="73">
        <f t="shared" si="1"/>
        <v>1045</v>
      </c>
    </row>
    <row r="56" spans="1:9" ht="15.75" customHeight="1" x14ac:dyDescent="0.3">
      <c r="A56" s="71" t="s">
        <v>195</v>
      </c>
      <c r="B56" s="2" t="s">
        <v>14</v>
      </c>
      <c r="C56" s="2">
        <v>557</v>
      </c>
      <c r="D56" s="2">
        <v>360</v>
      </c>
      <c r="E56" s="2">
        <v>318779</v>
      </c>
      <c r="F56" s="2">
        <v>8.02</v>
      </c>
      <c r="G56" s="9">
        <v>25797</v>
      </c>
      <c r="H56" s="57">
        <f t="shared" si="0"/>
        <v>6.1798299135137512E-4</v>
      </c>
      <c r="I56" s="73">
        <f t="shared" si="1"/>
        <v>197</v>
      </c>
    </row>
    <row r="57" spans="1:9" ht="15.75" customHeight="1" x14ac:dyDescent="0.3">
      <c r="A57" s="71" t="s">
        <v>195</v>
      </c>
      <c r="B57" s="2" t="s">
        <v>27</v>
      </c>
      <c r="C57" s="2">
        <v>728</v>
      </c>
      <c r="D57" s="2">
        <v>395</v>
      </c>
      <c r="E57" s="2">
        <v>370971</v>
      </c>
      <c r="F57" s="2">
        <v>3.86</v>
      </c>
      <c r="G57" s="9">
        <v>12646</v>
      </c>
      <c r="H57" s="57">
        <f t="shared" si="0"/>
        <v>8.9764429025449434E-4</v>
      </c>
      <c r="I57" s="73">
        <f t="shared" si="1"/>
        <v>333</v>
      </c>
    </row>
    <row r="58" spans="1:9" ht="15.75" customHeight="1" x14ac:dyDescent="0.3">
      <c r="A58" s="71" t="s">
        <v>87</v>
      </c>
      <c r="B58" s="2" t="s">
        <v>33</v>
      </c>
      <c r="C58" s="2">
        <v>1592</v>
      </c>
      <c r="D58" s="2">
        <v>20</v>
      </c>
      <c r="E58" s="2">
        <v>378054</v>
      </c>
      <c r="F58" s="2">
        <v>9.09</v>
      </c>
      <c r="G58" s="9">
        <v>26663</v>
      </c>
      <c r="H58" s="57">
        <f t="shared" si="0"/>
        <v>4.1581361392816901E-3</v>
      </c>
      <c r="I58" s="73">
        <f t="shared" si="1"/>
        <v>1572</v>
      </c>
    </row>
    <row r="59" spans="1:9" ht="15.75" customHeight="1" x14ac:dyDescent="0.3">
      <c r="A59" s="71" t="s">
        <v>87</v>
      </c>
      <c r="B59" s="2" t="s">
        <v>43</v>
      </c>
      <c r="C59" s="2">
        <v>1842</v>
      </c>
      <c r="D59" s="2">
        <v>414</v>
      </c>
      <c r="E59" s="2">
        <v>307524</v>
      </c>
      <c r="F59" s="2">
        <v>1.76</v>
      </c>
      <c r="G59" s="9">
        <v>40478</v>
      </c>
      <c r="H59" s="57">
        <f t="shared" si="0"/>
        <v>4.6435400163889647E-3</v>
      </c>
      <c r="I59" s="73">
        <f t="shared" si="1"/>
        <v>1428</v>
      </c>
    </row>
    <row r="60" spans="1:9" ht="15.75" customHeight="1" x14ac:dyDescent="0.3">
      <c r="A60" s="71" t="s">
        <v>87</v>
      </c>
      <c r="B60" s="2" t="s">
        <v>14</v>
      </c>
      <c r="C60" s="2">
        <v>751</v>
      </c>
      <c r="D60" s="2">
        <v>491</v>
      </c>
      <c r="E60" s="2">
        <v>434047</v>
      </c>
      <c r="F60" s="2">
        <v>9.24</v>
      </c>
      <c r="G60" s="9">
        <v>15476</v>
      </c>
      <c r="H60" s="57">
        <f t="shared" si="0"/>
        <v>5.990134708914012E-4</v>
      </c>
      <c r="I60" s="73">
        <f t="shared" si="1"/>
        <v>260</v>
      </c>
    </row>
    <row r="61" spans="1:9" ht="15.75" customHeight="1" x14ac:dyDescent="0.3">
      <c r="A61" s="71" t="s">
        <v>87</v>
      </c>
      <c r="B61" s="2" t="s">
        <v>27</v>
      </c>
      <c r="C61" s="2">
        <v>1409</v>
      </c>
      <c r="D61" s="2">
        <v>309</v>
      </c>
      <c r="E61" s="2">
        <v>64583</v>
      </c>
      <c r="F61" s="2">
        <v>8.99</v>
      </c>
      <c r="G61" s="9">
        <v>10217</v>
      </c>
      <c r="H61" s="57">
        <f t="shared" si="0"/>
        <v>1.7032345973398571E-2</v>
      </c>
      <c r="I61" s="73">
        <f t="shared" si="1"/>
        <v>1100</v>
      </c>
    </row>
    <row r="62" spans="1:9" ht="15.75" customHeight="1" x14ac:dyDescent="0.3">
      <c r="A62" s="71" t="s">
        <v>575</v>
      </c>
      <c r="B62" s="2" t="s">
        <v>33</v>
      </c>
      <c r="C62" s="2">
        <v>778</v>
      </c>
      <c r="D62" s="2">
        <v>401</v>
      </c>
      <c r="E62" s="2">
        <v>50793</v>
      </c>
      <c r="F62" s="2">
        <v>3.4</v>
      </c>
      <c r="G62" s="9">
        <v>21939</v>
      </c>
      <c r="H62" s="57">
        <f t="shared" si="0"/>
        <v>7.4222825979957871E-3</v>
      </c>
      <c r="I62" s="73">
        <f t="shared" si="1"/>
        <v>377</v>
      </c>
    </row>
    <row r="63" spans="1:9" ht="15.75" customHeight="1" x14ac:dyDescent="0.3">
      <c r="A63" s="71" t="s">
        <v>575</v>
      </c>
      <c r="B63" s="2" t="s">
        <v>43</v>
      </c>
      <c r="C63" s="2">
        <v>443</v>
      </c>
      <c r="D63" s="2">
        <v>345</v>
      </c>
      <c r="E63" s="2">
        <v>474162</v>
      </c>
      <c r="F63" s="2">
        <v>9.1999999999999993</v>
      </c>
      <c r="G63" s="9">
        <v>47462</v>
      </c>
      <c r="H63" s="57">
        <f t="shared" si="0"/>
        <v>2.0668041724136477E-4</v>
      </c>
      <c r="I63" s="73">
        <f t="shared" si="1"/>
        <v>98</v>
      </c>
    </row>
    <row r="64" spans="1:9" ht="15.75" customHeight="1" x14ac:dyDescent="0.3">
      <c r="A64" s="71" t="s">
        <v>575</v>
      </c>
      <c r="B64" s="2" t="s">
        <v>14</v>
      </c>
      <c r="C64" s="2">
        <v>1472</v>
      </c>
      <c r="D64" s="2">
        <v>347</v>
      </c>
      <c r="E64" s="2">
        <v>392355</v>
      </c>
      <c r="F64" s="2">
        <v>8.59</v>
      </c>
      <c r="G64" s="9">
        <v>30270</v>
      </c>
      <c r="H64" s="57">
        <f t="shared" si="0"/>
        <v>2.8673012960201858E-3</v>
      </c>
      <c r="I64" s="73">
        <f t="shared" si="1"/>
        <v>1125</v>
      </c>
    </row>
    <row r="65" spans="1:9" ht="15.75" customHeight="1" x14ac:dyDescent="0.3">
      <c r="A65" s="71" t="s">
        <v>575</v>
      </c>
      <c r="B65" s="2" t="s">
        <v>27</v>
      </c>
      <c r="C65" s="2">
        <v>123</v>
      </c>
      <c r="D65" s="2">
        <v>155</v>
      </c>
      <c r="E65" s="2">
        <v>119934</v>
      </c>
      <c r="F65" s="2">
        <v>3.5</v>
      </c>
      <c r="G65" s="9">
        <v>5442</v>
      </c>
      <c r="H65" s="57">
        <f t="shared" si="0"/>
        <v>-2.6681341404439108E-4</v>
      </c>
      <c r="I65" s="73">
        <f t="shared" si="1"/>
        <v>-32</v>
      </c>
    </row>
    <row r="66" spans="1:9" ht="15.75" customHeight="1" x14ac:dyDescent="0.3">
      <c r="A66" s="71" t="s">
        <v>576</v>
      </c>
      <c r="B66" s="2" t="s">
        <v>33</v>
      </c>
      <c r="C66" s="2">
        <v>817</v>
      </c>
      <c r="D66" s="2">
        <v>151</v>
      </c>
      <c r="E66" s="2">
        <v>422625</v>
      </c>
      <c r="F66" s="2">
        <v>2.36</v>
      </c>
      <c r="G66" s="9">
        <v>1083</v>
      </c>
      <c r="H66" s="57">
        <f t="shared" si="0"/>
        <v>1.5758651286601596E-3</v>
      </c>
      <c r="I66" s="73">
        <f t="shared" si="1"/>
        <v>666</v>
      </c>
    </row>
    <row r="67" spans="1:9" ht="15.75" customHeight="1" x14ac:dyDescent="0.3">
      <c r="A67" s="71" t="s">
        <v>576</v>
      </c>
      <c r="B67" s="2" t="s">
        <v>43</v>
      </c>
      <c r="C67" s="2">
        <v>198</v>
      </c>
      <c r="D67" s="2">
        <v>217</v>
      </c>
      <c r="E67" s="2">
        <v>239753</v>
      </c>
      <c r="F67" s="2">
        <v>7.36</v>
      </c>
      <c r="G67" s="9">
        <v>11901</v>
      </c>
      <c r="H67" s="57">
        <f t="shared" ref="H67:H130" si="2">((C67-D67)/E67)</f>
        <v>-7.9248226299566635E-5</v>
      </c>
      <c r="I67" s="73">
        <f t="shared" ref="I67:I130" si="3">C67-D67</f>
        <v>-19</v>
      </c>
    </row>
    <row r="68" spans="1:9" ht="15.75" customHeight="1" x14ac:dyDescent="0.3">
      <c r="A68" s="71" t="s">
        <v>576</v>
      </c>
      <c r="B68" s="2" t="s">
        <v>14</v>
      </c>
      <c r="C68" s="2">
        <v>1911</v>
      </c>
      <c r="D68" s="2">
        <v>231</v>
      </c>
      <c r="E68" s="2">
        <v>268516</v>
      </c>
      <c r="F68" s="2">
        <v>8.5500000000000007</v>
      </c>
      <c r="G68" s="9">
        <v>24018</v>
      </c>
      <c r="H68" s="57">
        <f t="shared" si="2"/>
        <v>6.2566104068286429E-3</v>
      </c>
      <c r="I68" s="73">
        <f t="shared" si="3"/>
        <v>1680</v>
      </c>
    </row>
    <row r="69" spans="1:9" ht="15.75" customHeight="1" x14ac:dyDescent="0.3">
      <c r="A69" s="71" t="s">
        <v>576</v>
      </c>
      <c r="B69" s="2" t="s">
        <v>27</v>
      </c>
      <c r="C69" s="2">
        <v>1218</v>
      </c>
      <c r="D69" s="2">
        <v>212</v>
      </c>
      <c r="E69" s="2">
        <v>63177</v>
      </c>
      <c r="F69" s="2">
        <v>8.1300000000000008</v>
      </c>
      <c r="G69" s="9">
        <v>38883</v>
      </c>
      <c r="H69" s="57">
        <f t="shared" si="2"/>
        <v>1.592351646960128E-2</v>
      </c>
      <c r="I69" s="73">
        <f t="shared" si="3"/>
        <v>1006</v>
      </c>
    </row>
    <row r="70" spans="1:9" ht="15.75" customHeight="1" x14ac:dyDescent="0.3">
      <c r="A70" s="71" t="s">
        <v>577</v>
      </c>
      <c r="B70" s="2" t="s">
        <v>33</v>
      </c>
      <c r="C70" s="2">
        <v>1433</v>
      </c>
      <c r="D70" s="2">
        <v>408</v>
      </c>
      <c r="E70" s="2">
        <v>370269</v>
      </c>
      <c r="F70" s="2">
        <v>3.3</v>
      </c>
      <c r="G70" s="9">
        <v>30575</v>
      </c>
      <c r="H70" s="57">
        <f t="shared" si="2"/>
        <v>2.7682576721248606E-3</v>
      </c>
      <c r="I70" s="73">
        <f t="shared" si="3"/>
        <v>1025</v>
      </c>
    </row>
    <row r="71" spans="1:9" ht="15.75" customHeight="1" x14ac:dyDescent="0.3">
      <c r="A71" s="71" t="s">
        <v>577</v>
      </c>
      <c r="B71" s="2" t="s">
        <v>43</v>
      </c>
      <c r="C71" s="2">
        <v>250</v>
      </c>
      <c r="D71" s="2">
        <v>429</v>
      </c>
      <c r="E71" s="2">
        <v>453423</v>
      </c>
      <c r="F71" s="2">
        <v>1.77</v>
      </c>
      <c r="G71" s="9">
        <v>2315</v>
      </c>
      <c r="H71" s="57">
        <f t="shared" si="2"/>
        <v>-3.9477485703195471E-4</v>
      </c>
      <c r="I71" s="73">
        <f t="shared" si="3"/>
        <v>-179</v>
      </c>
    </row>
    <row r="72" spans="1:9" ht="15.75" customHeight="1" x14ac:dyDescent="0.3">
      <c r="A72" s="71" t="s">
        <v>577</v>
      </c>
      <c r="B72" s="2" t="s">
        <v>14</v>
      </c>
      <c r="C72" s="2">
        <v>752</v>
      </c>
      <c r="D72" s="2">
        <v>153</v>
      </c>
      <c r="E72" s="2">
        <v>64906</v>
      </c>
      <c r="F72" s="2">
        <v>2.09</v>
      </c>
      <c r="G72" s="9">
        <v>12148</v>
      </c>
      <c r="H72" s="57">
        <f t="shared" si="2"/>
        <v>9.2287307798970819E-3</v>
      </c>
      <c r="I72" s="73">
        <f t="shared" si="3"/>
        <v>599</v>
      </c>
    </row>
    <row r="73" spans="1:9" ht="15.75" customHeight="1" x14ac:dyDescent="0.3">
      <c r="A73" s="71" t="s">
        <v>577</v>
      </c>
      <c r="B73" s="2" t="s">
        <v>27</v>
      </c>
      <c r="C73" s="2">
        <v>1918</v>
      </c>
      <c r="D73" s="2">
        <v>212</v>
      </c>
      <c r="E73" s="2">
        <v>94360</v>
      </c>
      <c r="F73" s="2">
        <v>7.36</v>
      </c>
      <c r="G73" s="9">
        <v>36851</v>
      </c>
      <c r="H73" s="57">
        <f t="shared" si="2"/>
        <v>1.8079694785926241E-2</v>
      </c>
      <c r="I73" s="73">
        <f t="shared" si="3"/>
        <v>1706</v>
      </c>
    </row>
    <row r="74" spans="1:9" ht="15.75" customHeight="1" x14ac:dyDescent="0.3">
      <c r="A74" s="71" t="s">
        <v>578</v>
      </c>
      <c r="B74" s="2" t="s">
        <v>33</v>
      </c>
      <c r="C74" s="2">
        <v>1939</v>
      </c>
      <c r="D74" s="2">
        <v>67</v>
      </c>
      <c r="E74" s="2">
        <v>187183</v>
      </c>
      <c r="F74" s="2">
        <v>6.25</v>
      </c>
      <c r="G74" s="9">
        <v>41215</v>
      </c>
      <c r="H74" s="57">
        <f t="shared" si="2"/>
        <v>1.0000908202133741E-2</v>
      </c>
      <c r="I74" s="73">
        <f t="shared" si="3"/>
        <v>1872</v>
      </c>
    </row>
    <row r="75" spans="1:9" ht="15.75" customHeight="1" x14ac:dyDescent="0.3">
      <c r="A75" s="71" t="s">
        <v>578</v>
      </c>
      <c r="B75" s="2" t="s">
        <v>43</v>
      </c>
      <c r="C75" s="2">
        <v>1929</v>
      </c>
      <c r="D75" s="2">
        <v>267</v>
      </c>
      <c r="E75" s="2">
        <v>379363</v>
      </c>
      <c r="F75" s="2">
        <v>1.75</v>
      </c>
      <c r="G75" s="9">
        <v>43836</v>
      </c>
      <c r="H75" s="57">
        <f t="shared" si="2"/>
        <v>4.3810281972675247E-3</v>
      </c>
      <c r="I75" s="73">
        <f t="shared" si="3"/>
        <v>1662</v>
      </c>
    </row>
    <row r="76" spans="1:9" ht="15.75" customHeight="1" x14ac:dyDescent="0.3">
      <c r="A76" s="71" t="s">
        <v>578</v>
      </c>
      <c r="B76" s="2" t="s">
        <v>14</v>
      </c>
      <c r="C76" s="2">
        <v>437</v>
      </c>
      <c r="D76" s="2">
        <v>330</v>
      </c>
      <c r="E76" s="2">
        <v>476486</v>
      </c>
      <c r="F76" s="2">
        <v>4.97</v>
      </c>
      <c r="G76" s="9">
        <v>4509</v>
      </c>
      <c r="H76" s="57">
        <f t="shared" si="2"/>
        <v>2.2456063766826309E-4</v>
      </c>
      <c r="I76" s="73">
        <f t="shared" si="3"/>
        <v>107</v>
      </c>
    </row>
    <row r="77" spans="1:9" ht="15.75" customHeight="1" x14ac:dyDescent="0.3">
      <c r="A77" s="71" t="s">
        <v>578</v>
      </c>
      <c r="B77" s="2" t="s">
        <v>27</v>
      </c>
      <c r="C77" s="2">
        <v>307</v>
      </c>
      <c r="D77" s="2">
        <v>189</v>
      </c>
      <c r="E77" s="2">
        <v>117767</v>
      </c>
      <c r="F77" s="2">
        <v>9.3000000000000007</v>
      </c>
      <c r="G77" s="9">
        <v>27822</v>
      </c>
      <c r="H77" s="57">
        <f t="shared" si="2"/>
        <v>1.0019784829366461E-3</v>
      </c>
      <c r="I77" s="73">
        <f t="shared" si="3"/>
        <v>118</v>
      </c>
    </row>
    <row r="78" spans="1:9" ht="15.75" customHeight="1" x14ac:dyDescent="0.3">
      <c r="A78" s="71" t="s">
        <v>579</v>
      </c>
      <c r="B78" s="2" t="s">
        <v>33</v>
      </c>
      <c r="C78" s="2">
        <v>1527</v>
      </c>
      <c r="D78" s="2">
        <v>303</v>
      </c>
      <c r="E78" s="2">
        <v>388555</v>
      </c>
      <c r="F78" s="2">
        <v>8.9</v>
      </c>
      <c r="G78" s="9">
        <v>36397</v>
      </c>
      <c r="H78" s="57">
        <f t="shared" si="2"/>
        <v>3.1501331857780751E-3</v>
      </c>
      <c r="I78" s="73">
        <f t="shared" si="3"/>
        <v>1224</v>
      </c>
    </row>
    <row r="79" spans="1:9" ht="15.75" customHeight="1" x14ac:dyDescent="0.3">
      <c r="A79" s="71" t="s">
        <v>579</v>
      </c>
      <c r="B79" s="2" t="s">
        <v>43</v>
      </c>
      <c r="C79" s="2">
        <v>643</v>
      </c>
      <c r="D79" s="2">
        <v>358</v>
      </c>
      <c r="E79" s="2">
        <v>157599</v>
      </c>
      <c r="F79" s="2">
        <v>3.88</v>
      </c>
      <c r="G79" s="9">
        <v>7285</v>
      </c>
      <c r="H79" s="57">
        <f t="shared" si="2"/>
        <v>1.8083871090552605E-3</v>
      </c>
      <c r="I79" s="73">
        <f t="shared" si="3"/>
        <v>285</v>
      </c>
    </row>
    <row r="80" spans="1:9" ht="15.75" customHeight="1" x14ac:dyDescent="0.3">
      <c r="A80" s="71" t="s">
        <v>579</v>
      </c>
      <c r="B80" s="2" t="s">
        <v>14</v>
      </c>
      <c r="C80" s="2">
        <v>201</v>
      </c>
      <c r="D80" s="2">
        <v>221</v>
      </c>
      <c r="E80" s="2">
        <v>309772</v>
      </c>
      <c r="F80" s="2">
        <v>5.9</v>
      </c>
      <c r="G80" s="9">
        <v>33174</v>
      </c>
      <c r="H80" s="57">
        <f t="shared" si="2"/>
        <v>-6.456361452939582E-5</v>
      </c>
      <c r="I80" s="73">
        <f t="shared" si="3"/>
        <v>-20</v>
      </c>
    </row>
    <row r="81" spans="1:9" ht="15.75" customHeight="1" x14ac:dyDescent="0.3">
      <c r="A81" s="71" t="s">
        <v>579</v>
      </c>
      <c r="B81" s="2" t="s">
        <v>27</v>
      </c>
      <c r="C81" s="2">
        <v>414</v>
      </c>
      <c r="D81" s="2">
        <v>47</v>
      </c>
      <c r="E81" s="2">
        <v>199178</v>
      </c>
      <c r="F81" s="2">
        <v>1.53</v>
      </c>
      <c r="G81" s="9">
        <v>6742</v>
      </c>
      <c r="H81" s="57">
        <f t="shared" si="2"/>
        <v>1.8425729749269497E-3</v>
      </c>
      <c r="I81" s="73">
        <f t="shared" si="3"/>
        <v>367</v>
      </c>
    </row>
    <row r="82" spans="1:9" ht="15.75" customHeight="1" x14ac:dyDescent="0.3">
      <c r="A82" s="71" t="s">
        <v>168</v>
      </c>
      <c r="B82" s="2" t="s">
        <v>33</v>
      </c>
      <c r="C82" s="2">
        <v>703</v>
      </c>
      <c r="D82" s="2">
        <v>441</v>
      </c>
      <c r="E82" s="2">
        <v>357089</v>
      </c>
      <c r="F82" s="2">
        <v>6.5</v>
      </c>
      <c r="G82" s="9">
        <v>32478</v>
      </c>
      <c r="H82" s="57">
        <f t="shared" si="2"/>
        <v>7.3371064356504961E-4</v>
      </c>
      <c r="I82" s="73">
        <f t="shared" si="3"/>
        <v>262</v>
      </c>
    </row>
    <row r="83" spans="1:9" ht="15.75" customHeight="1" x14ac:dyDescent="0.3">
      <c r="A83" s="71" t="s">
        <v>168</v>
      </c>
      <c r="B83" s="2" t="s">
        <v>43</v>
      </c>
      <c r="C83" s="2">
        <v>508</v>
      </c>
      <c r="D83" s="2">
        <v>69</v>
      </c>
      <c r="E83" s="2">
        <v>23492</v>
      </c>
      <c r="F83" s="2">
        <v>3.16</v>
      </c>
      <c r="G83" s="9">
        <v>42824</v>
      </c>
      <c r="H83" s="57">
        <f t="shared" si="2"/>
        <v>1.8687212668142345E-2</v>
      </c>
      <c r="I83" s="73">
        <f t="shared" si="3"/>
        <v>439</v>
      </c>
    </row>
    <row r="84" spans="1:9" ht="15.75" customHeight="1" x14ac:dyDescent="0.3">
      <c r="A84" s="71" t="s">
        <v>168</v>
      </c>
      <c r="B84" s="2" t="s">
        <v>14</v>
      </c>
      <c r="C84" s="2">
        <v>697</v>
      </c>
      <c r="D84" s="2">
        <v>61</v>
      </c>
      <c r="E84" s="2">
        <v>258287</v>
      </c>
      <c r="F84" s="2">
        <v>8.25</v>
      </c>
      <c r="G84" s="9">
        <v>21208</v>
      </c>
      <c r="H84" s="57">
        <f t="shared" si="2"/>
        <v>2.4623771231227277E-3</v>
      </c>
      <c r="I84" s="73">
        <f t="shared" si="3"/>
        <v>636</v>
      </c>
    </row>
    <row r="85" spans="1:9" ht="15.75" customHeight="1" x14ac:dyDescent="0.3">
      <c r="A85" s="71" t="s">
        <v>168</v>
      </c>
      <c r="B85" s="2" t="s">
        <v>27</v>
      </c>
      <c r="C85" s="2">
        <v>1707</v>
      </c>
      <c r="D85" s="2">
        <v>223</v>
      </c>
      <c r="E85" s="2">
        <v>256910</v>
      </c>
      <c r="F85" s="2">
        <v>5.41</v>
      </c>
      <c r="G85" s="9">
        <v>44321</v>
      </c>
      <c r="H85" s="57">
        <f t="shared" si="2"/>
        <v>5.7763419096181542E-3</v>
      </c>
      <c r="I85" s="73">
        <f t="shared" si="3"/>
        <v>1484</v>
      </c>
    </row>
    <row r="86" spans="1:9" ht="15.75" customHeight="1" x14ac:dyDescent="0.3">
      <c r="A86" s="71" t="s">
        <v>201</v>
      </c>
      <c r="B86" s="2" t="s">
        <v>33</v>
      </c>
      <c r="C86" s="2">
        <v>642</v>
      </c>
      <c r="D86" s="2">
        <v>66</v>
      </c>
      <c r="E86" s="2">
        <v>346522</v>
      </c>
      <c r="F86" s="2">
        <v>5.85</v>
      </c>
      <c r="G86" s="9">
        <v>13116</v>
      </c>
      <c r="H86" s="57">
        <f t="shared" si="2"/>
        <v>1.6622321237901201E-3</v>
      </c>
      <c r="I86" s="73">
        <f t="shared" si="3"/>
        <v>576</v>
      </c>
    </row>
    <row r="87" spans="1:9" ht="15.75" customHeight="1" x14ac:dyDescent="0.3">
      <c r="A87" s="71" t="s">
        <v>201</v>
      </c>
      <c r="B87" s="2" t="s">
        <v>43</v>
      </c>
      <c r="C87" s="2">
        <v>859</v>
      </c>
      <c r="D87" s="2">
        <v>473</v>
      </c>
      <c r="E87" s="2">
        <v>209987</v>
      </c>
      <c r="F87" s="2">
        <v>4.46</v>
      </c>
      <c r="G87" s="9">
        <v>30214</v>
      </c>
      <c r="H87" s="57">
        <f t="shared" si="2"/>
        <v>1.8382090319876945E-3</v>
      </c>
      <c r="I87" s="73">
        <f t="shared" si="3"/>
        <v>386</v>
      </c>
    </row>
    <row r="88" spans="1:9" ht="15.75" customHeight="1" x14ac:dyDescent="0.3">
      <c r="A88" s="71" t="s">
        <v>201</v>
      </c>
      <c r="B88" s="2" t="s">
        <v>14</v>
      </c>
      <c r="C88" s="2">
        <v>191</v>
      </c>
      <c r="D88" s="2">
        <v>154</v>
      </c>
      <c r="E88" s="2">
        <v>240550</v>
      </c>
      <c r="F88" s="2">
        <v>5.22</v>
      </c>
      <c r="G88" s="9">
        <v>15827</v>
      </c>
      <c r="H88" s="57">
        <f t="shared" si="2"/>
        <v>1.5381417584701726E-4</v>
      </c>
      <c r="I88" s="73">
        <f t="shared" si="3"/>
        <v>37</v>
      </c>
    </row>
    <row r="89" spans="1:9" ht="15.75" customHeight="1" x14ac:dyDescent="0.3">
      <c r="A89" s="71" t="s">
        <v>201</v>
      </c>
      <c r="B89" s="2" t="s">
        <v>27</v>
      </c>
      <c r="C89" s="2">
        <v>1814</v>
      </c>
      <c r="D89" s="2">
        <v>157</v>
      </c>
      <c r="E89" s="2">
        <v>305827</v>
      </c>
      <c r="F89" s="2">
        <v>1.99</v>
      </c>
      <c r="G89" s="9">
        <v>46643</v>
      </c>
      <c r="H89" s="57">
        <f t="shared" si="2"/>
        <v>5.4180958515762179E-3</v>
      </c>
      <c r="I89" s="73">
        <f t="shared" si="3"/>
        <v>1657</v>
      </c>
    </row>
    <row r="90" spans="1:9" ht="15.75" customHeight="1" x14ac:dyDescent="0.3">
      <c r="A90" s="71" t="s">
        <v>282</v>
      </c>
      <c r="B90" s="2" t="s">
        <v>33</v>
      </c>
      <c r="C90" s="2">
        <v>1466</v>
      </c>
      <c r="D90" s="2">
        <v>69</v>
      </c>
      <c r="E90" s="2">
        <v>54935</v>
      </c>
      <c r="F90" s="2">
        <v>6.85</v>
      </c>
      <c r="G90" s="9">
        <v>36484</v>
      </c>
      <c r="H90" s="57">
        <f t="shared" si="2"/>
        <v>2.5430053699827069E-2</v>
      </c>
      <c r="I90" s="73">
        <f t="shared" si="3"/>
        <v>1397</v>
      </c>
    </row>
    <row r="91" spans="1:9" ht="15.75" customHeight="1" x14ac:dyDescent="0.3">
      <c r="A91" s="71" t="s">
        <v>282</v>
      </c>
      <c r="B91" s="2" t="s">
        <v>43</v>
      </c>
      <c r="C91" s="2">
        <v>947</v>
      </c>
      <c r="D91" s="2">
        <v>407</v>
      </c>
      <c r="E91" s="2">
        <v>319186</v>
      </c>
      <c r="F91" s="2">
        <v>3.32</v>
      </c>
      <c r="G91" s="9">
        <v>4996</v>
      </c>
      <c r="H91" s="57">
        <f t="shared" si="2"/>
        <v>1.6918035252172713E-3</v>
      </c>
      <c r="I91" s="73">
        <f t="shared" si="3"/>
        <v>540</v>
      </c>
    </row>
    <row r="92" spans="1:9" ht="15.75" customHeight="1" x14ac:dyDescent="0.3">
      <c r="A92" s="71" t="s">
        <v>282</v>
      </c>
      <c r="B92" s="2" t="s">
        <v>14</v>
      </c>
      <c r="C92" s="2">
        <v>1821</v>
      </c>
      <c r="D92" s="2">
        <v>218</v>
      </c>
      <c r="E92" s="2">
        <v>439080</v>
      </c>
      <c r="F92" s="2">
        <v>5.68</v>
      </c>
      <c r="G92" s="9">
        <v>36095</v>
      </c>
      <c r="H92" s="57">
        <f t="shared" si="2"/>
        <v>3.6508153411678964E-3</v>
      </c>
      <c r="I92" s="73">
        <f t="shared" si="3"/>
        <v>1603</v>
      </c>
    </row>
    <row r="93" spans="1:9" ht="15.75" customHeight="1" x14ac:dyDescent="0.3">
      <c r="A93" s="71" t="s">
        <v>282</v>
      </c>
      <c r="B93" s="2" t="s">
        <v>27</v>
      </c>
      <c r="C93" s="2">
        <v>1507</v>
      </c>
      <c r="D93" s="2">
        <v>463</v>
      </c>
      <c r="E93" s="2">
        <v>258944</v>
      </c>
      <c r="F93" s="2">
        <v>6.08</v>
      </c>
      <c r="G93" s="9">
        <v>16443</v>
      </c>
      <c r="H93" s="57">
        <f t="shared" si="2"/>
        <v>4.0317597627286209E-3</v>
      </c>
      <c r="I93" s="73">
        <f t="shared" si="3"/>
        <v>1044</v>
      </c>
    </row>
    <row r="94" spans="1:9" ht="15.75" customHeight="1" x14ac:dyDescent="0.3">
      <c r="A94" s="71" t="s">
        <v>580</v>
      </c>
      <c r="B94" s="2" t="s">
        <v>33</v>
      </c>
      <c r="C94" s="2">
        <v>1075</v>
      </c>
      <c r="D94" s="2">
        <v>173</v>
      </c>
      <c r="E94" s="2">
        <v>51395</v>
      </c>
      <c r="F94" s="2">
        <v>4.66</v>
      </c>
      <c r="G94" s="9">
        <v>47812</v>
      </c>
      <c r="H94" s="57">
        <f t="shared" si="2"/>
        <v>1.7550345364335054E-2</v>
      </c>
      <c r="I94" s="73">
        <f t="shared" si="3"/>
        <v>902</v>
      </c>
    </row>
    <row r="95" spans="1:9" ht="15.75" customHeight="1" x14ac:dyDescent="0.3">
      <c r="A95" s="71" t="s">
        <v>580</v>
      </c>
      <c r="B95" s="2" t="s">
        <v>43</v>
      </c>
      <c r="C95" s="2">
        <v>171</v>
      </c>
      <c r="D95" s="2">
        <v>277</v>
      </c>
      <c r="E95" s="2">
        <v>309483</v>
      </c>
      <c r="F95" s="2">
        <v>8.6999999999999993</v>
      </c>
      <c r="G95" s="9">
        <v>38452</v>
      </c>
      <c r="H95" s="57">
        <f t="shared" si="2"/>
        <v>-3.4250669665215861E-4</v>
      </c>
      <c r="I95" s="73">
        <f t="shared" si="3"/>
        <v>-106</v>
      </c>
    </row>
    <row r="96" spans="1:9" ht="15.75" customHeight="1" x14ac:dyDescent="0.3">
      <c r="A96" s="71" t="s">
        <v>580</v>
      </c>
      <c r="B96" s="2" t="s">
        <v>14</v>
      </c>
      <c r="C96" s="2">
        <v>1487</v>
      </c>
      <c r="D96" s="2">
        <v>337</v>
      </c>
      <c r="E96" s="2">
        <v>87305</v>
      </c>
      <c r="F96" s="2">
        <v>2.46</v>
      </c>
      <c r="G96" s="9">
        <v>30428</v>
      </c>
      <c r="H96" s="57">
        <f t="shared" si="2"/>
        <v>1.3172212358971423E-2</v>
      </c>
      <c r="I96" s="73">
        <f t="shared" si="3"/>
        <v>1150</v>
      </c>
    </row>
    <row r="97" spans="1:9" ht="15.75" customHeight="1" x14ac:dyDescent="0.3">
      <c r="A97" s="71" t="s">
        <v>580</v>
      </c>
      <c r="B97" s="2" t="s">
        <v>27</v>
      </c>
      <c r="C97" s="2">
        <v>454</v>
      </c>
      <c r="D97" s="2">
        <v>105</v>
      </c>
      <c r="E97" s="2">
        <v>121091</v>
      </c>
      <c r="F97" s="2">
        <v>7.97</v>
      </c>
      <c r="G97" s="9">
        <v>9269</v>
      </c>
      <c r="H97" s="57">
        <f t="shared" si="2"/>
        <v>2.8821299683708945E-3</v>
      </c>
      <c r="I97" s="73">
        <f t="shared" si="3"/>
        <v>349</v>
      </c>
    </row>
    <row r="98" spans="1:9" ht="15.75" customHeight="1" x14ac:dyDescent="0.3">
      <c r="A98" s="71" t="s">
        <v>67</v>
      </c>
      <c r="B98" s="2" t="s">
        <v>33</v>
      </c>
      <c r="C98" s="2">
        <v>187</v>
      </c>
      <c r="D98" s="2">
        <v>236</v>
      </c>
      <c r="E98" s="2">
        <v>51087</v>
      </c>
      <c r="F98" s="2">
        <v>9.41</v>
      </c>
      <c r="G98" s="9">
        <v>29533</v>
      </c>
      <c r="H98" s="57">
        <f t="shared" si="2"/>
        <v>-9.5914811987394058E-4</v>
      </c>
      <c r="I98" s="73">
        <f t="shared" si="3"/>
        <v>-49</v>
      </c>
    </row>
    <row r="99" spans="1:9" ht="15.75" customHeight="1" x14ac:dyDescent="0.3">
      <c r="A99" s="71" t="s">
        <v>67</v>
      </c>
      <c r="B99" s="2" t="s">
        <v>43</v>
      </c>
      <c r="C99" s="2">
        <v>513</v>
      </c>
      <c r="D99" s="2">
        <v>441</v>
      </c>
      <c r="E99" s="2">
        <v>338847</v>
      </c>
      <c r="F99" s="2">
        <v>2.68</v>
      </c>
      <c r="G99" s="9">
        <v>39997</v>
      </c>
      <c r="H99" s="57">
        <f t="shared" si="2"/>
        <v>2.1248528096751631E-4</v>
      </c>
      <c r="I99" s="73">
        <f t="shared" si="3"/>
        <v>72</v>
      </c>
    </row>
    <row r="100" spans="1:9" ht="15.75" customHeight="1" x14ac:dyDescent="0.3">
      <c r="A100" s="71" t="s">
        <v>67</v>
      </c>
      <c r="B100" s="2" t="s">
        <v>14</v>
      </c>
      <c r="C100" s="2">
        <v>628</v>
      </c>
      <c r="D100" s="2">
        <v>183</v>
      </c>
      <c r="E100" s="2">
        <v>487523</v>
      </c>
      <c r="F100" s="2">
        <v>7.32</v>
      </c>
      <c r="G100" s="9">
        <v>5391</v>
      </c>
      <c r="H100" s="57">
        <f t="shared" si="2"/>
        <v>9.1277744844858602E-4</v>
      </c>
      <c r="I100" s="73">
        <f t="shared" si="3"/>
        <v>445</v>
      </c>
    </row>
    <row r="101" spans="1:9" ht="15.75" customHeight="1" x14ac:dyDescent="0.3">
      <c r="A101" s="71" t="s">
        <v>67</v>
      </c>
      <c r="B101" s="2" t="s">
        <v>27</v>
      </c>
      <c r="C101" s="2">
        <v>278</v>
      </c>
      <c r="D101" s="2">
        <v>218</v>
      </c>
      <c r="E101" s="2">
        <v>301695</v>
      </c>
      <c r="F101" s="2">
        <v>4.68</v>
      </c>
      <c r="G101" s="9">
        <v>22373</v>
      </c>
      <c r="H101" s="57">
        <f t="shared" si="2"/>
        <v>1.9887634863023914E-4</v>
      </c>
      <c r="I101" s="73">
        <f t="shared" si="3"/>
        <v>60</v>
      </c>
    </row>
    <row r="102" spans="1:9" ht="15.75" customHeight="1" x14ac:dyDescent="0.3">
      <c r="A102" s="71" t="s">
        <v>129</v>
      </c>
      <c r="B102" s="2" t="s">
        <v>33</v>
      </c>
      <c r="C102" s="2">
        <v>1854</v>
      </c>
      <c r="D102" s="2">
        <v>161</v>
      </c>
      <c r="E102" s="2">
        <v>282466</v>
      </c>
      <c r="F102" s="2">
        <v>5.17</v>
      </c>
      <c r="G102" s="9">
        <v>1810</v>
      </c>
      <c r="H102" s="57">
        <f t="shared" si="2"/>
        <v>5.9936417126309005E-3</v>
      </c>
      <c r="I102" s="73">
        <f t="shared" si="3"/>
        <v>1693</v>
      </c>
    </row>
    <row r="103" spans="1:9" ht="15.75" customHeight="1" x14ac:dyDescent="0.3">
      <c r="A103" s="71" t="s">
        <v>129</v>
      </c>
      <c r="B103" s="2" t="s">
        <v>43</v>
      </c>
      <c r="C103" s="2">
        <v>1710</v>
      </c>
      <c r="D103" s="2">
        <v>378</v>
      </c>
      <c r="E103" s="2">
        <v>336661</v>
      </c>
      <c r="F103" s="2">
        <v>6.2</v>
      </c>
      <c r="G103" s="9">
        <v>28498</v>
      </c>
      <c r="H103" s="57">
        <f t="shared" si="2"/>
        <v>3.9565022381564839E-3</v>
      </c>
      <c r="I103" s="73">
        <f t="shared" si="3"/>
        <v>1332</v>
      </c>
    </row>
    <row r="104" spans="1:9" ht="15.75" customHeight="1" x14ac:dyDescent="0.3">
      <c r="A104" s="71" t="s">
        <v>129</v>
      </c>
      <c r="B104" s="2" t="s">
        <v>14</v>
      </c>
      <c r="C104" s="2">
        <v>330</v>
      </c>
      <c r="D104" s="2">
        <v>232</v>
      </c>
      <c r="E104" s="2">
        <v>88455</v>
      </c>
      <c r="F104" s="2">
        <v>2.69</v>
      </c>
      <c r="G104" s="9">
        <v>39530</v>
      </c>
      <c r="H104" s="57">
        <f t="shared" si="2"/>
        <v>1.1079079758069075E-3</v>
      </c>
      <c r="I104" s="73">
        <f t="shared" si="3"/>
        <v>98</v>
      </c>
    </row>
    <row r="105" spans="1:9" ht="15.75" customHeight="1" x14ac:dyDescent="0.3">
      <c r="A105" s="71" t="s">
        <v>129</v>
      </c>
      <c r="B105" s="2" t="s">
        <v>27</v>
      </c>
      <c r="C105" s="2">
        <v>1293</v>
      </c>
      <c r="D105" s="2">
        <v>408</v>
      </c>
      <c r="E105" s="2">
        <v>62535</v>
      </c>
      <c r="F105" s="2">
        <v>8.9</v>
      </c>
      <c r="G105" s="9">
        <v>37876</v>
      </c>
      <c r="H105" s="57">
        <f t="shared" si="2"/>
        <v>1.4152074838090669E-2</v>
      </c>
      <c r="I105" s="73">
        <f t="shared" si="3"/>
        <v>885</v>
      </c>
    </row>
    <row r="106" spans="1:9" ht="15.75" customHeight="1" x14ac:dyDescent="0.3">
      <c r="A106" s="71" t="s">
        <v>581</v>
      </c>
      <c r="B106" s="2" t="s">
        <v>33</v>
      </c>
      <c r="C106" s="2">
        <v>1696</v>
      </c>
      <c r="D106" s="2">
        <v>71</v>
      </c>
      <c r="E106" s="2">
        <v>421957</v>
      </c>
      <c r="F106" s="2">
        <v>3.79</v>
      </c>
      <c r="G106" s="9">
        <v>36103</v>
      </c>
      <c r="H106" s="57">
        <f t="shared" si="2"/>
        <v>3.8511033114748661E-3</v>
      </c>
      <c r="I106" s="73">
        <f t="shared" si="3"/>
        <v>1625</v>
      </c>
    </row>
    <row r="107" spans="1:9" ht="15.75" customHeight="1" x14ac:dyDescent="0.3">
      <c r="A107" s="71" t="s">
        <v>581</v>
      </c>
      <c r="B107" s="2" t="s">
        <v>43</v>
      </c>
      <c r="C107" s="2">
        <v>1902</v>
      </c>
      <c r="D107" s="2">
        <v>196</v>
      </c>
      <c r="E107" s="2">
        <v>470269</v>
      </c>
      <c r="F107" s="2">
        <v>4.79</v>
      </c>
      <c r="G107" s="9">
        <v>26103</v>
      </c>
      <c r="H107" s="57">
        <f t="shared" si="2"/>
        <v>3.6277109484146308E-3</v>
      </c>
      <c r="I107" s="73">
        <f t="shared" si="3"/>
        <v>1706</v>
      </c>
    </row>
    <row r="108" spans="1:9" ht="15.75" customHeight="1" x14ac:dyDescent="0.3">
      <c r="A108" s="71" t="s">
        <v>581</v>
      </c>
      <c r="B108" s="2" t="s">
        <v>14</v>
      </c>
      <c r="C108" s="2">
        <v>1441</v>
      </c>
      <c r="D108" s="2">
        <v>268</v>
      </c>
      <c r="E108" s="2">
        <v>309904</v>
      </c>
      <c r="F108" s="2">
        <v>6.37</v>
      </c>
      <c r="G108" s="9">
        <v>3455</v>
      </c>
      <c r="H108" s="57">
        <f t="shared" si="2"/>
        <v>3.7850431101244257E-3</v>
      </c>
      <c r="I108" s="73">
        <f t="shared" si="3"/>
        <v>1173</v>
      </c>
    </row>
    <row r="109" spans="1:9" ht="15.75" customHeight="1" x14ac:dyDescent="0.3">
      <c r="A109" s="71" t="s">
        <v>581</v>
      </c>
      <c r="B109" s="2" t="s">
        <v>27</v>
      </c>
      <c r="C109" s="2">
        <v>452</v>
      </c>
      <c r="D109" s="2">
        <v>161</v>
      </c>
      <c r="E109" s="2">
        <v>221274</v>
      </c>
      <c r="F109" s="2">
        <v>2.65</v>
      </c>
      <c r="G109" s="9">
        <v>40888</v>
      </c>
      <c r="H109" s="57">
        <f t="shared" si="2"/>
        <v>1.3151115811166245E-3</v>
      </c>
      <c r="I109" s="73">
        <f t="shared" si="3"/>
        <v>291</v>
      </c>
    </row>
    <row r="110" spans="1:9" ht="15.75" customHeight="1" x14ac:dyDescent="0.3">
      <c r="A110" s="71" t="s">
        <v>221</v>
      </c>
      <c r="B110" s="2" t="s">
        <v>33</v>
      </c>
      <c r="C110" s="2">
        <v>1494</v>
      </c>
      <c r="D110" s="2">
        <v>375</v>
      </c>
      <c r="E110" s="2">
        <v>220616</v>
      </c>
      <c r="F110" s="2">
        <v>1.81</v>
      </c>
      <c r="G110" s="9">
        <v>22724</v>
      </c>
      <c r="H110" s="57">
        <f t="shared" si="2"/>
        <v>5.0721615839286359E-3</v>
      </c>
      <c r="I110" s="73">
        <f t="shared" si="3"/>
        <v>1119</v>
      </c>
    </row>
    <row r="111" spans="1:9" ht="15.75" customHeight="1" x14ac:dyDescent="0.3">
      <c r="A111" s="71" t="s">
        <v>221</v>
      </c>
      <c r="B111" s="2" t="s">
        <v>43</v>
      </c>
      <c r="C111" s="2">
        <v>1514</v>
      </c>
      <c r="D111" s="2">
        <v>141</v>
      </c>
      <c r="E111" s="2">
        <v>35842</v>
      </c>
      <c r="F111" s="2">
        <v>7.47</v>
      </c>
      <c r="G111" s="9">
        <v>18601</v>
      </c>
      <c r="H111" s="57">
        <f t="shared" si="2"/>
        <v>3.8307014117515761E-2</v>
      </c>
      <c r="I111" s="73">
        <f t="shared" si="3"/>
        <v>1373</v>
      </c>
    </row>
    <row r="112" spans="1:9" ht="15.75" customHeight="1" x14ac:dyDescent="0.3">
      <c r="A112" s="71" t="s">
        <v>221</v>
      </c>
      <c r="B112" s="2" t="s">
        <v>14</v>
      </c>
      <c r="C112" s="2">
        <v>1937</v>
      </c>
      <c r="D112" s="2">
        <v>210</v>
      </c>
      <c r="E112" s="2">
        <v>20607</v>
      </c>
      <c r="F112" s="2">
        <v>4.2</v>
      </c>
      <c r="G112" s="9">
        <v>20861</v>
      </c>
      <c r="H112" s="57">
        <f t="shared" si="2"/>
        <v>8.3806473528412681E-2</v>
      </c>
      <c r="I112" s="73">
        <f t="shared" si="3"/>
        <v>1727</v>
      </c>
    </row>
    <row r="113" spans="1:9" ht="15.75" customHeight="1" x14ac:dyDescent="0.3">
      <c r="A113" s="71" t="s">
        <v>221</v>
      </c>
      <c r="B113" s="2" t="s">
        <v>27</v>
      </c>
      <c r="C113" s="2">
        <v>736</v>
      </c>
      <c r="D113" s="2">
        <v>163</v>
      </c>
      <c r="E113" s="2">
        <v>451894</v>
      </c>
      <c r="F113" s="2">
        <v>5.43</v>
      </c>
      <c r="G113" s="9">
        <v>46625</v>
      </c>
      <c r="H113" s="57">
        <f t="shared" si="2"/>
        <v>1.2679964770499277E-3</v>
      </c>
      <c r="I113" s="73">
        <f t="shared" si="3"/>
        <v>573</v>
      </c>
    </row>
    <row r="114" spans="1:9" ht="15.75" customHeight="1" x14ac:dyDescent="0.3">
      <c r="A114" s="71" t="s">
        <v>112</v>
      </c>
      <c r="B114" s="2" t="s">
        <v>33</v>
      </c>
      <c r="C114" s="2">
        <v>1502</v>
      </c>
      <c r="D114" s="2">
        <v>70</v>
      </c>
      <c r="E114" s="2">
        <v>465553</v>
      </c>
      <c r="F114" s="2">
        <v>3.32</v>
      </c>
      <c r="G114" s="9">
        <v>20692</v>
      </c>
      <c r="H114" s="57">
        <f t="shared" si="2"/>
        <v>3.0759118725472716E-3</v>
      </c>
      <c r="I114" s="73">
        <f t="shared" si="3"/>
        <v>1432</v>
      </c>
    </row>
    <row r="115" spans="1:9" ht="15.75" customHeight="1" x14ac:dyDescent="0.3">
      <c r="A115" s="71" t="s">
        <v>112</v>
      </c>
      <c r="B115" s="2" t="s">
        <v>43</v>
      </c>
      <c r="C115" s="2">
        <v>1623</v>
      </c>
      <c r="D115" s="2">
        <v>246</v>
      </c>
      <c r="E115" s="2">
        <v>415815</v>
      </c>
      <c r="F115" s="2">
        <v>8.11</v>
      </c>
      <c r="G115" s="9">
        <v>18656</v>
      </c>
      <c r="H115" s="57">
        <f t="shared" si="2"/>
        <v>3.311568846722701E-3</v>
      </c>
      <c r="I115" s="73">
        <f t="shared" si="3"/>
        <v>1377</v>
      </c>
    </row>
    <row r="116" spans="1:9" ht="15.75" customHeight="1" x14ac:dyDescent="0.3">
      <c r="A116" s="71" t="s">
        <v>112</v>
      </c>
      <c r="B116" s="2" t="s">
        <v>14</v>
      </c>
      <c r="C116" s="2">
        <v>1592</v>
      </c>
      <c r="D116" s="2">
        <v>233</v>
      </c>
      <c r="E116" s="2">
        <v>327183</v>
      </c>
      <c r="F116" s="2">
        <v>6.66</v>
      </c>
      <c r="G116" s="9">
        <v>13316</v>
      </c>
      <c r="H116" s="57">
        <f t="shared" si="2"/>
        <v>4.1536387893013997E-3</v>
      </c>
      <c r="I116" s="73">
        <f t="shared" si="3"/>
        <v>1359</v>
      </c>
    </row>
    <row r="117" spans="1:9" ht="15.75" customHeight="1" x14ac:dyDescent="0.3">
      <c r="A117" s="71" t="s">
        <v>112</v>
      </c>
      <c r="B117" s="2" t="s">
        <v>27</v>
      </c>
      <c r="C117" s="2">
        <v>1004</v>
      </c>
      <c r="D117" s="2">
        <v>128</v>
      </c>
      <c r="E117" s="2">
        <v>488901</v>
      </c>
      <c r="F117" s="2">
        <v>8.09</v>
      </c>
      <c r="G117" s="9">
        <v>49558</v>
      </c>
      <c r="H117" s="57">
        <f t="shared" si="2"/>
        <v>1.7917737946946315E-3</v>
      </c>
      <c r="I117" s="73">
        <f t="shared" si="3"/>
        <v>876</v>
      </c>
    </row>
    <row r="118" spans="1:9" ht="15.75" customHeight="1" x14ac:dyDescent="0.3">
      <c r="A118" s="71" t="s">
        <v>15</v>
      </c>
      <c r="B118" s="2" t="s">
        <v>33</v>
      </c>
      <c r="C118" s="2">
        <v>1092</v>
      </c>
      <c r="D118" s="2">
        <v>408</v>
      </c>
      <c r="E118" s="2">
        <v>280795</v>
      </c>
      <c r="F118" s="2">
        <v>8.44</v>
      </c>
      <c r="G118" s="9">
        <v>4683</v>
      </c>
      <c r="H118" s="57">
        <f t="shared" si="2"/>
        <v>2.4359408109118751E-3</v>
      </c>
      <c r="I118" s="73">
        <f t="shared" si="3"/>
        <v>684</v>
      </c>
    </row>
    <row r="119" spans="1:9" ht="15.75" customHeight="1" x14ac:dyDescent="0.3">
      <c r="A119" s="71" t="s">
        <v>15</v>
      </c>
      <c r="B119" s="2" t="s">
        <v>43</v>
      </c>
      <c r="C119" s="2">
        <v>1155</v>
      </c>
      <c r="D119" s="2">
        <v>425</v>
      </c>
      <c r="E119" s="2">
        <v>93347</v>
      </c>
      <c r="F119" s="2">
        <v>2.02</v>
      </c>
      <c r="G119" s="9">
        <v>47502</v>
      </c>
      <c r="H119" s="57">
        <f t="shared" si="2"/>
        <v>7.8202834584935772E-3</v>
      </c>
      <c r="I119" s="73">
        <f t="shared" si="3"/>
        <v>730</v>
      </c>
    </row>
    <row r="120" spans="1:9" ht="15.75" customHeight="1" x14ac:dyDescent="0.3">
      <c r="A120" s="71" t="s">
        <v>15</v>
      </c>
      <c r="B120" s="2" t="s">
        <v>14</v>
      </c>
      <c r="C120" s="2">
        <v>1137</v>
      </c>
      <c r="D120" s="2">
        <v>226</v>
      </c>
      <c r="E120" s="2">
        <v>81119</v>
      </c>
      <c r="F120" s="2">
        <v>7.74</v>
      </c>
      <c r="G120" s="9">
        <v>35359</v>
      </c>
      <c r="H120" s="57">
        <f t="shared" si="2"/>
        <v>1.1230414576116569E-2</v>
      </c>
      <c r="I120" s="73">
        <f t="shared" si="3"/>
        <v>911</v>
      </c>
    </row>
    <row r="121" spans="1:9" ht="15.75" customHeight="1" x14ac:dyDescent="0.3">
      <c r="A121" s="71" t="s">
        <v>15</v>
      </c>
      <c r="B121" s="2" t="s">
        <v>27</v>
      </c>
      <c r="C121" s="2">
        <v>1900</v>
      </c>
      <c r="D121" s="2">
        <v>311</v>
      </c>
      <c r="E121" s="2">
        <v>25177</v>
      </c>
      <c r="F121" s="2">
        <v>2.89</v>
      </c>
      <c r="G121" s="9">
        <v>14154</v>
      </c>
      <c r="H121" s="57">
        <f t="shared" si="2"/>
        <v>6.3113158835445049E-2</v>
      </c>
      <c r="I121" s="73">
        <f t="shared" si="3"/>
        <v>1589</v>
      </c>
    </row>
    <row r="122" spans="1:9" ht="15.75" customHeight="1" x14ac:dyDescent="0.3">
      <c r="A122" s="71" t="s">
        <v>582</v>
      </c>
      <c r="B122" s="2" t="s">
        <v>33</v>
      </c>
      <c r="C122" s="2">
        <v>1814</v>
      </c>
      <c r="D122" s="2">
        <v>49</v>
      </c>
      <c r="E122" s="2">
        <v>140804</v>
      </c>
      <c r="F122" s="2">
        <v>1.76</v>
      </c>
      <c r="G122" s="9">
        <v>4313</v>
      </c>
      <c r="H122" s="57">
        <f t="shared" si="2"/>
        <v>1.253515525127127E-2</v>
      </c>
      <c r="I122" s="73">
        <f t="shared" si="3"/>
        <v>1765</v>
      </c>
    </row>
    <row r="123" spans="1:9" ht="15.75" customHeight="1" x14ac:dyDescent="0.3">
      <c r="A123" s="71" t="s">
        <v>582</v>
      </c>
      <c r="B123" s="2" t="s">
        <v>43</v>
      </c>
      <c r="C123" s="2">
        <v>1980</v>
      </c>
      <c r="D123" s="2">
        <v>204</v>
      </c>
      <c r="E123" s="2">
        <v>379431</v>
      </c>
      <c r="F123" s="2">
        <v>3.09</v>
      </c>
      <c r="G123" s="9">
        <v>25140</v>
      </c>
      <c r="H123" s="57">
        <f t="shared" si="2"/>
        <v>4.6806929323118035E-3</v>
      </c>
      <c r="I123" s="73">
        <f t="shared" si="3"/>
        <v>1776</v>
      </c>
    </row>
    <row r="124" spans="1:9" ht="15.75" customHeight="1" x14ac:dyDescent="0.3">
      <c r="A124" s="71" t="s">
        <v>582</v>
      </c>
      <c r="B124" s="2" t="s">
        <v>14</v>
      </c>
      <c r="C124" s="2">
        <v>1786</v>
      </c>
      <c r="D124" s="2">
        <v>257</v>
      </c>
      <c r="E124" s="2">
        <v>274831</v>
      </c>
      <c r="F124" s="2">
        <v>4.68</v>
      </c>
      <c r="G124" s="9">
        <v>9118</v>
      </c>
      <c r="H124" s="57">
        <f t="shared" si="2"/>
        <v>5.5634189738421064E-3</v>
      </c>
      <c r="I124" s="73">
        <f t="shared" si="3"/>
        <v>1529</v>
      </c>
    </row>
    <row r="125" spans="1:9" ht="15.75" customHeight="1" x14ac:dyDescent="0.3">
      <c r="A125" s="71" t="s">
        <v>582</v>
      </c>
      <c r="B125" s="2" t="s">
        <v>27</v>
      </c>
      <c r="C125" s="2">
        <v>1495</v>
      </c>
      <c r="D125" s="2">
        <v>35</v>
      </c>
      <c r="E125" s="2">
        <v>136845</v>
      </c>
      <c r="F125" s="2">
        <v>4.4800000000000004</v>
      </c>
      <c r="G125" s="9">
        <v>39931</v>
      </c>
      <c r="H125" s="57">
        <f t="shared" si="2"/>
        <v>1.0669005078738719E-2</v>
      </c>
      <c r="I125" s="73">
        <f t="shared" si="3"/>
        <v>1460</v>
      </c>
    </row>
    <row r="126" spans="1:9" ht="15.75" customHeight="1" x14ac:dyDescent="0.3">
      <c r="A126" s="71" t="s">
        <v>125</v>
      </c>
      <c r="B126" s="2" t="s">
        <v>33</v>
      </c>
      <c r="C126" s="2">
        <v>1013</v>
      </c>
      <c r="D126" s="2">
        <v>110</v>
      </c>
      <c r="E126" s="2">
        <v>466382</v>
      </c>
      <c r="F126" s="2">
        <v>5.3</v>
      </c>
      <c r="G126" s="9">
        <v>37132</v>
      </c>
      <c r="H126" s="57">
        <f t="shared" si="2"/>
        <v>1.9361810704529763E-3</v>
      </c>
      <c r="I126" s="73">
        <f t="shared" si="3"/>
        <v>903</v>
      </c>
    </row>
    <row r="127" spans="1:9" ht="15.75" customHeight="1" x14ac:dyDescent="0.3">
      <c r="A127" s="71" t="s">
        <v>125</v>
      </c>
      <c r="B127" s="2" t="s">
        <v>43</v>
      </c>
      <c r="C127" s="2">
        <v>816</v>
      </c>
      <c r="D127" s="2">
        <v>196</v>
      </c>
      <c r="E127" s="2">
        <v>95728</v>
      </c>
      <c r="F127" s="2">
        <v>8.1999999999999993</v>
      </c>
      <c r="G127" s="9">
        <v>17951</v>
      </c>
      <c r="H127" s="57">
        <f t="shared" si="2"/>
        <v>6.4766839378238338E-3</v>
      </c>
      <c r="I127" s="73">
        <f t="shared" si="3"/>
        <v>620</v>
      </c>
    </row>
    <row r="128" spans="1:9" ht="15.75" customHeight="1" x14ac:dyDescent="0.3">
      <c r="A128" s="71" t="s">
        <v>125</v>
      </c>
      <c r="B128" s="2" t="s">
        <v>14</v>
      </c>
      <c r="C128" s="2">
        <v>1633</v>
      </c>
      <c r="D128" s="2">
        <v>445</v>
      </c>
      <c r="E128" s="2">
        <v>371156</v>
      </c>
      <c r="F128" s="2">
        <v>2.2200000000000002</v>
      </c>
      <c r="G128" s="9">
        <v>2798</v>
      </c>
      <c r="H128" s="57">
        <f t="shared" si="2"/>
        <v>3.2008104408927781E-3</v>
      </c>
      <c r="I128" s="73">
        <f t="shared" si="3"/>
        <v>1188</v>
      </c>
    </row>
    <row r="129" spans="1:9" ht="15.75" customHeight="1" x14ac:dyDescent="0.3">
      <c r="A129" s="71" t="s">
        <v>125</v>
      </c>
      <c r="B129" s="2" t="s">
        <v>27</v>
      </c>
      <c r="C129" s="2">
        <v>891</v>
      </c>
      <c r="D129" s="2">
        <v>45</v>
      </c>
      <c r="E129" s="2">
        <v>95410</v>
      </c>
      <c r="F129" s="2">
        <v>8.33</v>
      </c>
      <c r="G129" s="9">
        <v>15045</v>
      </c>
      <c r="H129" s="57">
        <f t="shared" si="2"/>
        <v>8.8669950738916262E-3</v>
      </c>
      <c r="I129" s="73">
        <f t="shared" si="3"/>
        <v>846</v>
      </c>
    </row>
    <row r="130" spans="1:9" ht="15.75" customHeight="1" x14ac:dyDescent="0.3">
      <c r="A130" s="71" t="s">
        <v>583</v>
      </c>
      <c r="B130" s="2" t="s">
        <v>33</v>
      </c>
      <c r="C130" s="2">
        <v>1855</v>
      </c>
      <c r="D130" s="2">
        <v>133</v>
      </c>
      <c r="E130" s="2">
        <v>349413</v>
      </c>
      <c r="F130" s="2">
        <v>3.3</v>
      </c>
      <c r="G130" s="9">
        <v>14548</v>
      </c>
      <c r="H130" s="57">
        <f t="shared" si="2"/>
        <v>4.9282654051223049E-3</v>
      </c>
      <c r="I130" s="73">
        <f t="shared" si="3"/>
        <v>1722</v>
      </c>
    </row>
    <row r="131" spans="1:9" ht="15.75" customHeight="1" x14ac:dyDescent="0.3">
      <c r="A131" s="71" t="s">
        <v>583</v>
      </c>
      <c r="B131" s="2" t="s">
        <v>43</v>
      </c>
      <c r="C131" s="2">
        <v>651</v>
      </c>
      <c r="D131" s="2">
        <v>353</v>
      </c>
      <c r="E131" s="2">
        <v>224699</v>
      </c>
      <c r="F131" s="2">
        <v>5.61</v>
      </c>
      <c r="G131" s="9">
        <v>45708</v>
      </c>
      <c r="H131" s="57">
        <f t="shared" ref="H131:H194" si="4">((C131-D131)/E131)</f>
        <v>1.3262186302564765E-3</v>
      </c>
      <c r="I131" s="73">
        <f t="shared" ref="I131:I194" si="5">C131-D131</f>
        <v>298</v>
      </c>
    </row>
    <row r="132" spans="1:9" ht="15.75" customHeight="1" x14ac:dyDescent="0.3">
      <c r="A132" s="71" t="s">
        <v>583</v>
      </c>
      <c r="B132" s="2" t="s">
        <v>14</v>
      </c>
      <c r="C132" s="2">
        <v>118</v>
      </c>
      <c r="D132" s="2">
        <v>262</v>
      </c>
      <c r="E132" s="2">
        <v>487896</v>
      </c>
      <c r="F132" s="2">
        <v>2.56</v>
      </c>
      <c r="G132" s="9">
        <v>12350</v>
      </c>
      <c r="H132" s="57">
        <f t="shared" si="4"/>
        <v>-2.9514486693885583E-4</v>
      </c>
      <c r="I132" s="73">
        <f t="shared" si="5"/>
        <v>-144</v>
      </c>
    </row>
    <row r="133" spans="1:9" ht="15.75" customHeight="1" x14ac:dyDescent="0.3">
      <c r="A133" s="71" t="s">
        <v>583</v>
      </c>
      <c r="B133" s="2" t="s">
        <v>27</v>
      </c>
      <c r="C133" s="2">
        <v>1331</v>
      </c>
      <c r="D133" s="2">
        <v>430</v>
      </c>
      <c r="E133" s="2">
        <v>14437</v>
      </c>
      <c r="F133" s="2">
        <v>3.29</v>
      </c>
      <c r="G133" s="9">
        <v>40868</v>
      </c>
      <c r="H133" s="57">
        <f t="shared" si="4"/>
        <v>6.2409087760615087E-2</v>
      </c>
      <c r="I133" s="73">
        <f t="shared" si="5"/>
        <v>901</v>
      </c>
    </row>
    <row r="134" spans="1:9" ht="15.75" customHeight="1" x14ac:dyDescent="0.3">
      <c r="A134" s="71" t="s">
        <v>584</v>
      </c>
      <c r="B134" s="2" t="s">
        <v>33</v>
      </c>
      <c r="C134" s="2">
        <v>1748</v>
      </c>
      <c r="D134" s="2">
        <v>176</v>
      </c>
      <c r="E134" s="2">
        <v>383681</v>
      </c>
      <c r="F134" s="2">
        <v>9.24</v>
      </c>
      <c r="G134" s="9">
        <v>43122</v>
      </c>
      <c r="H134" s="57">
        <f t="shared" si="4"/>
        <v>4.0971536250166149E-3</v>
      </c>
      <c r="I134" s="73">
        <f t="shared" si="5"/>
        <v>1572</v>
      </c>
    </row>
    <row r="135" spans="1:9" ht="15.75" customHeight="1" x14ac:dyDescent="0.3">
      <c r="A135" s="71" t="s">
        <v>584</v>
      </c>
      <c r="B135" s="2" t="s">
        <v>43</v>
      </c>
      <c r="C135" s="2">
        <v>663</v>
      </c>
      <c r="D135" s="2">
        <v>236</v>
      </c>
      <c r="E135" s="2">
        <v>479490</v>
      </c>
      <c r="F135" s="2">
        <v>4.51</v>
      </c>
      <c r="G135" s="9">
        <v>23853</v>
      </c>
      <c r="H135" s="57">
        <f t="shared" si="4"/>
        <v>8.9052952094934197E-4</v>
      </c>
      <c r="I135" s="73">
        <f t="shared" si="5"/>
        <v>427</v>
      </c>
    </row>
    <row r="136" spans="1:9" ht="15.75" customHeight="1" x14ac:dyDescent="0.3">
      <c r="A136" s="71" t="s">
        <v>584</v>
      </c>
      <c r="B136" s="2" t="s">
        <v>14</v>
      </c>
      <c r="C136" s="2">
        <v>1040</v>
      </c>
      <c r="D136" s="2">
        <v>149</v>
      </c>
      <c r="E136" s="2">
        <v>124404</v>
      </c>
      <c r="F136" s="2">
        <v>5.23</v>
      </c>
      <c r="G136" s="9">
        <v>45380</v>
      </c>
      <c r="H136" s="57">
        <f t="shared" si="4"/>
        <v>7.1621491270377159E-3</v>
      </c>
      <c r="I136" s="73">
        <f t="shared" si="5"/>
        <v>891</v>
      </c>
    </row>
    <row r="137" spans="1:9" ht="15.75" customHeight="1" x14ac:dyDescent="0.3">
      <c r="A137" s="71" t="s">
        <v>584</v>
      </c>
      <c r="B137" s="2" t="s">
        <v>27</v>
      </c>
      <c r="C137" s="2">
        <v>1166</v>
      </c>
      <c r="D137" s="2">
        <v>442</v>
      </c>
      <c r="E137" s="2">
        <v>336949</v>
      </c>
      <c r="F137" s="2">
        <v>4.68</v>
      </c>
      <c r="G137" s="9">
        <v>7705</v>
      </c>
      <c r="H137" s="57">
        <f t="shared" si="4"/>
        <v>2.1486931256659019E-3</v>
      </c>
      <c r="I137" s="73">
        <f t="shared" si="5"/>
        <v>724</v>
      </c>
    </row>
    <row r="138" spans="1:9" ht="15.75" customHeight="1" x14ac:dyDescent="0.3">
      <c r="A138" s="71" t="s">
        <v>224</v>
      </c>
      <c r="B138" s="2" t="s">
        <v>33</v>
      </c>
      <c r="C138" s="2">
        <v>115</v>
      </c>
      <c r="D138" s="2">
        <v>281</v>
      </c>
      <c r="E138" s="2">
        <v>357265</v>
      </c>
      <c r="F138" s="2">
        <v>9.23</v>
      </c>
      <c r="G138" s="9">
        <v>25525</v>
      </c>
      <c r="H138" s="57">
        <f t="shared" si="4"/>
        <v>-4.6464109274628077E-4</v>
      </c>
      <c r="I138" s="73">
        <f t="shared" si="5"/>
        <v>-166</v>
      </c>
    </row>
    <row r="139" spans="1:9" ht="15.75" customHeight="1" x14ac:dyDescent="0.3">
      <c r="A139" s="71" t="s">
        <v>224</v>
      </c>
      <c r="B139" s="2" t="s">
        <v>43</v>
      </c>
      <c r="C139" s="2">
        <v>1249</v>
      </c>
      <c r="D139" s="2">
        <v>351</v>
      </c>
      <c r="E139" s="2">
        <v>321307</v>
      </c>
      <c r="F139" s="2">
        <v>6.37</v>
      </c>
      <c r="G139" s="9">
        <v>20560</v>
      </c>
      <c r="H139" s="57">
        <f t="shared" si="4"/>
        <v>2.7948348464241365E-3</v>
      </c>
      <c r="I139" s="73">
        <f t="shared" si="5"/>
        <v>898</v>
      </c>
    </row>
    <row r="140" spans="1:9" ht="15.75" customHeight="1" x14ac:dyDescent="0.3">
      <c r="A140" s="71" t="s">
        <v>224</v>
      </c>
      <c r="B140" s="2" t="s">
        <v>14</v>
      </c>
      <c r="C140" s="2">
        <v>1501</v>
      </c>
      <c r="D140" s="2">
        <v>75</v>
      </c>
      <c r="E140" s="2">
        <v>262569</v>
      </c>
      <c r="F140" s="2">
        <v>2.0099999999999998</v>
      </c>
      <c r="G140" s="9">
        <v>19119</v>
      </c>
      <c r="H140" s="57">
        <f t="shared" si="4"/>
        <v>5.4309533874905263E-3</v>
      </c>
      <c r="I140" s="73">
        <f t="shared" si="5"/>
        <v>1426</v>
      </c>
    </row>
    <row r="141" spans="1:9" ht="15.75" customHeight="1" x14ac:dyDescent="0.3">
      <c r="A141" s="71" t="s">
        <v>224</v>
      </c>
      <c r="B141" s="2" t="s">
        <v>27</v>
      </c>
      <c r="C141" s="2">
        <v>1411</v>
      </c>
      <c r="D141" s="2">
        <v>186</v>
      </c>
      <c r="E141" s="2">
        <v>461669</v>
      </c>
      <c r="F141" s="2">
        <v>3.72</v>
      </c>
      <c r="G141" s="9">
        <v>43999</v>
      </c>
      <c r="H141" s="57">
        <f t="shared" si="4"/>
        <v>2.6534161921203288E-3</v>
      </c>
      <c r="I141" s="73">
        <f t="shared" si="5"/>
        <v>1225</v>
      </c>
    </row>
    <row r="142" spans="1:9" ht="15.75" customHeight="1" x14ac:dyDescent="0.3">
      <c r="A142" s="71" t="s">
        <v>585</v>
      </c>
      <c r="B142" s="2" t="s">
        <v>33</v>
      </c>
      <c r="C142" s="2">
        <v>1556</v>
      </c>
      <c r="D142" s="2">
        <v>476</v>
      </c>
      <c r="E142" s="2">
        <v>351556</v>
      </c>
      <c r="F142" s="2">
        <v>3.89</v>
      </c>
      <c r="G142" s="9">
        <v>10825</v>
      </c>
      <c r="H142" s="57">
        <f t="shared" si="4"/>
        <v>3.0720567989168156E-3</v>
      </c>
      <c r="I142" s="73">
        <f t="shared" si="5"/>
        <v>1080</v>
      </c>
    </row>
    <row r="143" spans="1:9" ht="15.75" customHeight="1" x14ac:dyDescent="0.3">
      <c r="A143" s="71" t="s">
        <v>585</v>
      </c>
      <c r="B143" s="2" t="s">
        <v>43</v>
      </c>
      <c r="C143" s="2">
        <v>1159</v>
      </c>
      <c r="D143" s="2">
        <v>411</v>
      </c>
      <c r="E143" s="2">
        <v>135987</v>
      </c>
      <c r="F143" s="2">
        <v>8.6999999999999993</v>
      </c>
      <c r="G143" s="9">
        <v>40323</v>
      </c>
      <c r="H143" s="57">
        <f t="shared" si="4"/>
        <v>5.5005257855530306E-3</v>
      </c>
      <c r="I143" s="73">
        <f t="shared" si="5"/>
        <v>748</v>
      </c>
    </row>
    <row r="144" spans="1:9" ht="15.75" customHeight="1" x14ac:dyDescent="0.3">
      <c r="A144" s="71" t="s">
        <v>585</v>
      </c>
      <c r="B144" s="2" t="s">
        <v>14</v>
      </c>
      <c r="C144" s="2">
        <v>927</v>
      </c>
      <c r="D144" s="2">
        <v>358</v>
      </c>
      <c r="E144" s="2">
        <v>177554</v>
      </c>
      <c r="F144" s="2">
        <v>6.95</v>
      </c>
      <c r="G144" s="9">
        <v>48270</v>
      </c>
      <c r="H144" s="57">
        <f t="shared" si="4"/>
        <v>3.2046588643454949E-3</v>
      </c>
      <c r="I144" s="73">
        <f t="shared" si="5"/>
        <v>569</v>
      </c>
    </row>
    <row r="145" spans="1:9" ht="15.75" customHeight="1" x14ac:dyDescent="0.3">
      <c r="A145" s="71" t="s">
        <v>585</v>
      </c>
      <c r="B145" s="2" t="s">
        <v>27</v>
      </c>
      <c r="C145" s="2">
        <v>152</v>
      </c>
      <c r="D145" s="2">
        <v>355</v>
      </c>
      <c r="E145" s="2">
        <v>270766</v>
      </c>
      <c r="F145" s="2">
        <v>9.48</v>
      </c>
      <c r="G145" s="9">
        <v>18001</v>
      </c>
      <c r="H145" s="57">
        <f t="shared" si="4"/>
        <v>-7.4972485467156139E-4</v>
      </c>
      <c r="I145" s="73">
        <f t="shared" si="5"/>
        <v>-203</v>
      </c>
    </row>
    <row r="146" spans="1:9" ht="15.75" customHeight="1" x14ac:dyDescent="0.3">
      <c r="A146" s="71" t="s">
        <v>249</v>
      </c>
      <c r="B146" s="2" t="s">
        <v>33</v>
      </c>
      <c r="C146" s="2">
        <v>1957</v>
      </c>
      <c r="D146" s="2">
        <v>234</v>
      </c>
      <c r="E146" s="2">
        <v>222126</v>
      </c>
      <c r="F146" s="2">
        <v>4.6100000000000003</v>
      </c>
      <c r="G146" s="9">
        <v>3314</v>
      </c>
      <c r="H146" s="57">
        <f t="shared" si="4"/>
        <v>7.7568587198256845E-3</v>
      </c>
      <c r="I146" s="73">
        <f t="shared" si="5"/>
        <v>1723</v>
      </c>
    </row>
    <row r="147" spans="1:9" ht="15.75" customHeight="1" x14ac:dyDescent="0.3">
      <c r="A147" s="71" t="s">
        <v>249</v>
      </c>
      <c r="B147" s="2" t="s">
        <v>43</v>
      </c>
      <c r="C147" s="2">
        <v>1294</v>
      </c>
      <c r="D147" s="2">
        <v>382</v>
      </c>
      <c r="E147" s="2">
        <v>309914</v>
      </c>
      <c r="F147" s="2">
        <v>8.0299999999999994</v>
      </c>
      <c r="G147" s="9">
        <v>23489</v>
      </c>
      <c r="H147" s="57">
        <f t="shared" si="4"/>
        <v>2.9427518601934728E-3</v>
      </c>
      <c r="I147" s="73">
        <f t="shared" si="5"/>
        <v>912</v>
      </c>
    </row>
    <row r="148" spans="1:9" ht="15.75" customHeight="1" x14ac:dyDescent="0.3">
      <c r="A148" s="71" t="s">
        <v>249</v>
      </c>
      <c r="B148" s="2" t="s">
        <v>14</v>
      </c>
      <c r="C148" s="2">
        <v>1587</v>
      </c>
      <c r="D148" s="2">
        <v>385</v>
      </c>
      <c r="E148" s="2">
        <v>126582</v>
      </c>
      <c r="F148" s="2">
        <v>6.99</v>
      </c>
      <c r="G148" s="9">
        <v>42832</v>
      </c>
      <c r="H148" s="57">
        <f t="shared" si="4"/>
        <v>9.4958208908059605E-3</v>
      </c>
      <c r="I148" s="73">
        <f t="shared" si="5"/>
        <v>1202</v>
      </c>
    </row>
    <row r="149" spans="1:9" ht="15.75" customHeight="1" x14ac:dyDescent="0.3">
      <c r="A149" s="71" t="s">
        <v>249</v>
      </c>
      <c r="B149" s="2" t="s">
        <v>27</v>
      </c>
      <c r="C149" s="2">
        <v>1707</v>
      </c>
      <c r="D149" s="2">
        <v>263</v>
      </c>
      <c r="E149" s="2">
        <v>485280</v>
      </c>
      <c r="F149" s="2">
        <v>9.0299999999999994</v>
      </c>
      <c r="G149" s="9">
        <v>24494</v>
      </c>
      <c r="H149" s="57">
        <f t="shared" si="4"/>
        <v>2.9756017144741179E-3</v>
      </c>
      <c r="I149" s="73">
        <f t="shared" si="5"/>
        <v>1444</v>
      </c>
    </row>
    <row r="150" spans="1:9" ht="15.75" customHeight="1" x14ac:dyDescent="0.3">
      <c r="A150" s="71" t="s">
        <v>127</v>
      </c>
      <c r="B150" s="2" t="s">
        <v>33</v>
      </c>
      <c r="C150" s="2">
        <v>1138</v>
      </c>
      <c r="D150" s="2">
        <v>173</v>
      </c>
      <c r="E150" s="2">
        <v>453243</v>
      </c>
      <c r="F150" s="2">
        <v>2.86</v>
      </c>
      <c r="G150" s="9">
        <v>44097</v>
      </c>
      <c r="H150" s="57">
        <f t="shared" si="4"/>
        <v>2.1291007252180398E-3</v>
      </c>
      <c r="I150" s="73">
        <f t="shared" si="5"/>
        <v>965</v>
      </c>
    </row>
    <row r="151" spans="1:9" ht="15.75" customHeight="1" x14ac:dyDescent="0.3">
      <c r="A151" s="71" t="s">
        <v>127</v>
      </c>
      <c r="B151" s="2" t="s">
        <v>43</v>
      </c>
      <c r="C151" s="2">
        <v>1895</v>
      </c>
      <c r="D151" s="2">
        <v>305</v>
      </c>
      <c r="E151" s="2">
        <v>104967</v>
      </c>
      <c r="F151" s="2">
        <v>3.85</v>
      </c>
      <c r="G151" s="9">
        <v>31853</v>
      </c>
      <c r="H151" s="57">
        <f t="shared" si="4"/>
        <v>1.5147617822744291E-2</v>
      </c>
      <c r="I151" s="73">
        <f t="shared" si="5"/>
        <v>1590</v>
      </c>
    </row>
    <row r="152" spans="1:9" ht="15.75" customHeight="1" x14ac:dyDescent="0.3">
      <c r="A152" s="71" t="s">
        <v>127</v>
      </c>
      <c r="B152" s="2" t="s">
        <v>14</v>
      </c>
      <c r="C152" s="2">
        <v>362</v>
      </c>
      <c r="D152" s="2">
        <v>399</v>
      </c>
      <c r="E152" s="2">
        <v>145608</v>
      </c>
      <c r="F152" s="2">
        <v>7.3</v>
      </c>
      <c r="G152" s="9">
        <v>37636</v>
      </c>
      <c r="H152" s="57">
        <f t="shared" si="4"/>
        <v>-2.5410691720235154E-4</v>
      </c>
      <c r="I152" s="73">
        <f t="shared" si="5"/>
        <v>-37</v>
      </c>
    </row>
    <row r="153" spans="1:9" ht="15.75" customHeight="1" x14ac:dyDescent="0.3">
      <c r="A153" s="71" t="s">
        <v>127</v>
      </c>
      <c r="B153" s="2" t="s">
        <v>27</v>
      </c>
      <c r="C153" s="2">
        <v>1662</v>
      </c>
      <c r="D153" s="2">
        <v>487</v>
      </c>
      <c r="E153" s="2">
        <v>105980</v>
      </c>
      <c r="F153" s="2">
        <v>9.08</v>
      </c>
      <c r="G153" s="9">
        <v>22996</v>
      </c>
      <c r="H153" s="57">
        <f t="shared" si="4"/>
        <v>1.1086997546706926E-2</v>
      </c>
      <c r="I153" s="73">
        <f t="shared" si="5"/>
        <v>1175</v>
      </c>
    </row>
    <row r="154" spans="1:9" ht="15.75" customHeight="1" x14ac:dyDescent="0.3">
      <c r="A154" s="71" t="s">
        <v>147</v>
      </c>
      <c r="B154" s="2" t="s">
        <v>33</v>
      </c>
      <c r="C154" s="2">
        <v>1440</v>
      </c>
      <c r="D154" s="2">
        <v>65</v>
      </c>
      <c r="E154" s="2">
        <v>126524</v>
      </c>
      <c r="F154" s="2">
        <v>4.34</v>
      </c>
      <c r="G154" s="9">
        <v>49772</v>
      </c>
      <c r="H154" s="57">
        <f t="shared" si="4"/>
        <v>1.0867503398564699E-2</v>
      </c>
      <c r="I154" s="73">
        <f t="shared" si="5"/>
        <v>1375</v>
      </c>
    </row>
    <row r="155" spans="1:9" ht="15.75" customHeight="1" x14ac:dyDescent="0.3">
      <c r="A155" s="71" t="s">
        <v>147</v>
      </c>
      <c r="B155" s="2" t="s">
        <v>43</v>
      </c>
      <c r="C155" s="2">
        <v>1884</v>
      </c>
      <c r="D155" s="2">
        <v>177</v>
      </c>
      <c r="E155" s="2">
        <v>230448</v>
      </c>
      <c r="F155" s="2">
        <v>7.8</v>
      </c>
      <c r="G155" s="9">
        <v>22713</v>
      </c>
      <c r="H155" s="57">
        <f t="shared" si="4"/>
        <v>7.4073109768798169E-3</v>
      </c>
      <c r="I155" s="73">
        <f t="shared" si="5"/>
        <v>1707</v>
      </c>
    </row>
    <row r="156" spans="1:9" ht="15.75" customHeight="1" x14ac:dyDescent="0.3">
      <c r="A156" s="71" t="s">
        <v>147</v>
      </c>
      <c r="B156" s="2" t="s">
        <v>14</v>
      </c>
      <c r="C156" s="2">
        <v>861</v>
      </c>
      <c r="D156" s="2">
        <v>153</v>
      </c>
      <c r="E156" s="2">
        <v>317007</v>
      </c>
      <c r="F156" s="2">
        <v>3.85</v>
      </c>
      <c r="G156" s="9">
        <v>8718</v>
      </c>
      <c r="H156" s="57">
        <f t="shared" si="4"/>
        <v>2.2333891680625349E-3</v>
      </c>
      <c r="I156" s="73">
        <f t="shared" si="5"/>
        <v>708</v>
      </c>
    </row>
    <row r="157" spans="1:9" ht="15.75" customHeight="1" x14ac:dyDescent="0.3">
      <c r="A157" s="71" t="s">
        <v>147</v>
      </c>
      <c r="B157" s="2" t="s">
        <v>27</v>
      </c>
      <c r="C157" s="2">
        <v>1063</v>
      </c>
      <c r="D157" s="2">
        <v>47</v>
      </c>
      <c r="E157" s="2">
        <v>464239</v>
      </c>
      <c r="F157" s="2">
        <v>6.58</v>
      </c>
      <c r="G157" s="9">
        <v>39031</v>
      </c>
      <c r="H157" s="57">
        <f t="shared" si="4"/>
        <v>2.1885278918832756E-3</v>
      </c>
      <c r="I157" s="73">
        <f t="shared" si="5"/>
        <v>1016</v>
      </c>
    </row>
    <row r="158" spans="1:9" ht="15.75" customHeight="1" x14ac:dyDescent="0.3">
      <c r="A158" s="71" t="s">
        <v>197</v>
      </c>
      <c r="B158" s="2" t="s">
        <v>33</v>
      </c>
      <c r="C158" s="2">
        <v>1371</v>
      </c>
      <c r="D158" s="2">
        <v>56</v>
      </c>
      <c r="E158" s="2">
        <v>257579</v>
      </c>
      <c r="F158" s="2">
        <v>8.6199999999999992</v>
      </c>
      <c r="G158" s="9">
        <v>33799</v>
      </c>
      <c r="H158" s="57">
        <f t="shared" si="4"/>
        <v>5.1052298518124532E-3</v>
      </c>
      <c r="I158" s="73">
        <f t="shared" si="5"/>
        <v>1315</v>
      </c>
    </row>
    <row r="159" spans="1:9" ht="15.75" customHeight="1" x14ac:dyDescent="0.3">
      <c r="A159" s="71" t="s">
        <v>197</v>
      </c>
      <c r="B159" s="2" t="s">
        <v>43</v>
      </c>
      <c r="C159" s="2">
        <v>345</v>
      </c>
      <c r="D159" s="2">
        <v>464</v>
      </c>
      <c r="E159" s="2">
        <v>366881</v>
      </c>
      <c r="F159" s="2">
        <v>4.55</v>
      </c>
      <c r="G159" s="9">
        <v>20553</v>
      </c>
      <c r="H159" s="57">
        <f t="shared" si="4"/>
        <v>-3.2435585380545735E-4</v>
      </c>
      <c r="I159" s="73">
        <f t="shared" si="5"/>
        <v>-119</v>
      </c>
    </row>
    <row r="160" spans="1:9" ht="15.75" customHeight="1" x14ac:dyDescent="0.3">
      <c r="A160" s="71" t="s">
        <v>197</v>
      </c>
      <c r="B160" s="2" t="s">
        <v>14</v>
      </c>
      <c r="C160" s="2">
        <v>946</v>
      </c>
      <c r="D160" s="2">
        <v>47</v>
      </c>
      <c r="E160" s="2">
        <v>466575</v>
      </c>
      <c r="F160" s="2">
        <v>8.33</v>
      </c>
      <c r="G160" s="9">
        <v>10002</v>
      </c>
      <c r="H160" s="57">
        <f t="shared" si="4"/>
        <v>1.9268070513850934E-3</v>
      </c>
      <c r="I160" s="73">
        <f t="shared" si="5"/>
        <v>899</v>
      </c>
    </row>
    <row r="161" spans="1:9" ht="15.75" customHeight="1" x14ac:dyDescent="0.3">
      <c r="A161" s="71" t="s">
        <v>197</v>
      </c>
      <c r="B161" s="2" t="s">
        <v>27</v>
      </c>
      <c r="C161" s="2">
        <v>510</v>
      </c>
      <c r="D161" s="2">
        <v>195</v>
      </c>
      <c r="E161" s="2">
        <v>224534</v>
      </c>
      <c r="F161" s="2">
        <v>9.4</v>
      </c>
      <c r="G161" s="9">
        <v>30987</v>
      </c>
      <c r="H161" s="57">
        <f t="shared" si="4"/>
        <v>1.4029055733207443E-3</v>
      </c>
      <c r="I161" s="73">
        <f t="shared" si="5"/>
        <v>315</v>
      </c>
    </row>
    <row r="162" spans="1:9" ht="15.75" customHeight="1" x14ac:dyDescent="0.3">
      <c r="A162" s="71" t="s">
        <v>586</v>
      </c>
      <c r="B162" s="2" t="s">
        <v>33</v>
      </c>
      <c r="C162" s="2">
        <v>393</v>
      </c>
      <c r="D162" s="2">
        <v>181</v>
      </c>
      <c r="E162" s="2">
        <v>462142</v>
      </c>
      <c r="F162" s="2">
        <v>7.23</v>
      </c>
      <c r="G162" s="9">
        <v>6296</v>
      </c>
      <c r="H162" s="57">
        <f t="shared" si="4"/>
        <v>4.5873346287504706E-4</v>
      </c>
      <c r="I162" s="73">
        <f t="shared" si="5"/>
        <v>212</v>
      </c>
    </row>
    <row r="163" spans="1:9" ht="15.75" customHeight="1" x14ac:dyDescent="0.3">
      <c r="A163" s="71" t="s">
        <v>586</v>
      </c>
      <c r="B163" s="2" t="s">
        <v>43</v>
      </c>
      <c r="C163" s="2">
        <v>1098</v>
      </c>
      <c r="D163" s="2">
        <v>190</v>
      </c>
      <c r="E163" s="2">
        <v>340842</v>
      </c>
      <c r="F163" s="2">
        <v>9.39</v>
      </c>
      <c r="G163" s="9">
        <v>21539</v>
      </c>
      <c r="H163" s="57">
        <f t="shared" si="4"/>
        <v>2.6639909400836752E-3</v>
      </c>
      <c r="I163" s="73">
        <f t="shared" si="5"/>
        <v>908</v>
      </c>
    </row>
    <row r="164" spans="1:9" ht="15.75" customHeight="1" x14ac:dyDescent="0.3">
      <c r="A164" s="71" t="s">
        <v>586</v>
      </c>
      <c r="B164" s="2" t="s">
        <v>14</v>
      </c>
      <c r="C164" s="2">
        <v>1399</v>
      </c>
      <c r="D164" s="2">
        <v>49</v>
      </c>
      <c r="E164" s="2">
        <v>12471</v>
      </c>
      <c r="F164" s="2">
        <v>5.12</v>
      </c>
      <c r="G164" s="9">
        <v>14722</v>
      </c>
      <c r="H164" s="57">
        <f t="shared" si="4"/>
        <v>0.10825114265095021</v>
      </c>
      <c r="I164" s="73">
        <f t="shared" si="5"/>
        <v>1350</v>
      </c>
    </row>
    <row r="165" spans="1:9" ht="15.75" customHeight="1" x14ac:dyDescent="0.3">
      <c r="A165" s="71" t="s">
        <v>586</v>
      </c>
      <c r="B165" s="2" t="s">
        <v>27</v>
      </c>
      <c r="C165" s="2">
        <v>1658</v>
      </c>
      <c r="D165" s="2">
        <v>416</v>
      </c>
      <c r="E165" s="2">
        <v>98397</v>
      </c>
      <c r="F165" s="2">
        <v>6.11</v>
      </c>
      <c r="G165" s="9">
        <v>11383</v>
      </c>
      <c r="H165" s="57">
        <f t="shared" si="4"/>
        <v>1.2622336046830695E-2</v>
      </c>
      <c r="I165" s="73">
        <f t="shared" si="5"/>
        <v>1242</v>
      </c>
    </row>
    <row r="166" spans="1:9" ht="15.75" customHeight="1" x14ac:dyDescent="0.3">
      <c r="A166" s="71" t="s">
        <v>587</v>
      </c>
      <c r="B166" s="2" t="s">
        <v>33</v>
      </c>
      <c r="C166" s="2">
        <v>1102</v>
      </c>
      <c r="D166" s="2">
        <v>422</v>
      </c>
      <c r="E166" s="2">
        <v>410330</v>
      </c>
      <c r="F166" s="2">
        <v>7.74</v>
      </c>
      <c r="G166" s="9">
        <v>9480</v>
      </c>
      <c r="H166" s="57">
        <f t="shared" si="4"/>
        <v>1.6572027392586454E-3</v>
      </c>
      <c r="I166" s="73">
        <f t="shared" si="5"/>
        <v>680</v>
      </c>
    </row>
    <row r="167" spans="1:9" ht="15.75" customHeight="1" x14ac:dyDescent="0.3">
      <c r="A167" s="71" t="s">
        <v>587</v>
      </c>
      <c r="B167" s="2" t="s">
        <v>43</v>
      </c>
      <c r="C167" s="2">
        <v>1358</v>
      </c>
      <c r="D167" s="2">
        <v>242</v>
      </c>
      <c r="E167" s="2">
        <v>342129</v>
      </c>
      <c r="F167" s="2">
        <v>4.9400000000000004</v>
      </c>
      <c r="G167" s="9">
        <v>29116</v>
      </c>
      <c r="H167" s="57">
        <f t="shared" si="4"/>
        <v>3.2619275185675578E-3</v>
      </c>
      <c r="I167" s="73">
        <f t="shared" si="5"/>
        <v>1116</v>
      </c>
    </row>
    <row r="168" spans="1:9" ht="15.75" customHeight="1" x14ac:dyDescent="0.3">
      <c r="A168" s="71" t="s">
        <v>587</v>
      </c>
      <c r="B168" s="2" t="s">
        <v>14</v>
      </c>
      <c r="C168" s="2">
        <v>1077</v>
      </c>
      <c r="D168" s="2">
        <v>216</v>
      </c>
      <c r="E168" s="2">
        <v>12447</v>
      </c>
      <c r="F168" s="2">
        <v>1.8</v>
      </c>
      <c r="G168" s="9">
        <v>14068</v>
      </c>
      <c r="H168" s="57">
        <f t="shared" si="4"/>
        <v>6.9173294769824048E-2</v>
      </c>
      <c r="I168" s="73">
        <f t="shared" si="5"/>
        <v>861</v>
      </c>
    </row>
    <row r="169" spans="1:9" ht="15.75" customHeight="1" x14ac:dyDescent="0.3">
      <c r="A169" s="71" t="s">
        <v>587</v>
      </c>
      <c r="B169" s="2" t="s">
        <v>27</v>
      </c>
      <c r="C169" s="2">
        <v>1596</v>
      </c>
      <c r="D169" s="2">
        <v>211</v>
      </c>
      <c r="E169" s="2">
        <v>17380</v>
      </c>
      <c r="F169" s="2">
        <v>8.64</v>
      </c>
      <c r="G169" s="9">
        <v>35801</v>
      </c>
      <c r="H169" s="57">
        <f t="shared" si="4"/>
        <v>7.9689298043728429E-2</v>
      </c>
      <c r="I169" s="73">
        <f t="shared" si="5"/>
        <v>1385</v>
      </c>
    </row>
    <row r="170" spans="1:9" ht="15.75" customHeight="1" x14ac:dyDescent="0.3">
      <c r="A170" s="71" t="s">
        <v>234</v>
      </c>
      <c r="B170" s="2" t="s">
        <v>33</v>
      </c>
      <c r="C170" s="2">
        <v>490</v>
      </c>
      <c r="D170" s="2">
        <v>29</v>
      </c>
      <c r="E170" s="2">
        <v>364810</v>
      </c>
      <c r="F170" s="2">
        <v>1.53</v>
      </c>
      <c r="G170" s="9">
        <v>49077</v>
      </c>
      <c r="H170" s="57">
        <f t="shared" si="4"/>
        <v>1.2636715002329981E-3</v>
      </c>
      <c r="I170" s="73">
        <f t="shared" si="5"/>
        <v>461</v>
      </c>
    </row>
    <row r="171" spans="1:9" ht="15.75" customHeight="1" x14ac:dyDescent="0.3">
      <c r="A171" s="71" t="s">
        <v>234</v>
      </c>
      <c r="B171" s="2" t="s">
        <v>43</v>
      </c>
      <c r="C171" s="2">
        <v>609</v>
      </c>
      <c r="D171" s="2">
        <v>135</v>
      </c>
      <c r="E171" s="2">
        <v>373606</v>
      </c>
      <c r="F171" s="2">
        <v>8.52</v>
      </c>
      <c r="G171" s="9">
        <v>21453</v>
      </c>
      <c r="H171" s="57">
        <f t="shared" si="4"/>
        <v>1.268716241173857E-3</v>
      </c>
      <c r="I171" s="73">
        <f t="shared" si="5"/>
        <v>474</v>
      </c>
    </row>
    <row r="172" spans="1:9" ht="15.75" customHeight="1" x14ac:dyDescent="0.3">
      <c r="A172" s="71" t="s">
        <v>234</v>
      </c>
      <c r="B172" s="2" t="s">
        <v>14</v>
      </c>
      <c r="C172" s="2">
        <v>364</v>
      </c>
      <c r="D172" s="2">
        <v>72</v>
      </c>
      <c r="E172" s="2">
        <v>211090</v>
      </c>
      <c r="F172" s="2">
        <v>5.53</v>
      </c>
      <c r="G172" s="9">
        <v>21061</v>
      </c>
      <c r="H172" s="57">
        <f t="shared" si="4"/>
        <v>1.3832962243592781E-3</v>
      </c>
      <c r="I172" s="73">
        <f t="shared" si="5"/>
        <v>292</v>
      </c>
    </row>
    <row r="173" spans="1:9" ht="15.75" customHeight="1" x14ac:dyDescent="0.3">
      <c r="A173" s="71" t="s">
        <v>234</v>
      </c>
      <c r="B173" s="2" t="s">
        <v>27</v>
      </c>
      <c r="C173" s="2">
        <v>442</v>
      </c>
      <c r="D173" s="2">
        <v>53</v>
      </c>
      <c r="E173" s="2">
        <v>441931</v>
      </c>
      <c r="F173" s="2">
        <v>1.87</v>
      </c>
      <c r="G173" s="9">
        <v>20059</v>
      </c>
      <c r="H173" s="57">
        <f t="shared" si="4"/>
        <v>8.8022790888170322E-4</v>
      </c>
      <c r="I173" s="73">
        <f t="shared" si="5"/>
        <v>389</v>
      </c>
    </row>
    <row r="174" spans="1:9" ht="15.75" customHeight="1" x14ac:dyDescent="0.3">
      <c r="A174" s="71" t="s">
        <v>588</v>
      </c>
      <c r="B174" s="2" t="s">
        <v>33</v>
      </c>
      <c r="C174" s="2">
        <v>1033</v>
      </c>
      <c r="D174" s="2">
        <v>392</v>
      </c>
      <c r="E174" s="2">
        <v>282780</v>
      </c>
      <c r="F174" s="2">
        <v>6.27</v>
      </c>
      <c r="G174" s="9">
        <v>23140</v>
      </c>
      <c r="H174" s="57">
        <f t="shared" si="4"/>
        <v>2.2667798288422093E-3</v>
      </c>
      <c r="I174" s="73">
        <f t="shared" si="5"/>
        <v>641</v>
      </c>
    </row>
    <row r="175" spans="1:9" ht="15.75" customHeight="1" x14ac:dyDescent="0.3">
      <c r="A175" s="71" t="s">
        <v>588</v>
      </c>
      <c r="B175" s="2" t="s">
        <v>43</v>
      </c>
      <c r="C175" s="2">
        <v>988</v>
      </c>
      <c r="D175" s="2">
        <v>474</v>
      </c>
      <c r="E175" s="2">
        <v>370070</v>
      </c>
      <c r="F175" s="2">
        <v>9.4600000000000009</v>
      </c>
      <c r="G175" s="9">
        <v>23461</v>
      </c>
      <c r="H175" s="57">
        <f t="shared" si="4"/>
        <v>1.3889264193260734E-3</v>
      </c>
      <c r="I175" s="73">
        <f t="shared" si="5"/>
        <v>514</v>
      </c>
    </row>
    <row r="176" spans="1:9" ht="15.75" customHeight="1" x14ac:dyDescent="0.3">
      <c r="A176" s="71" t="s">
        <v>588</v>
      </c>
      <c r="B176" s="2" t="s">
        <v>14</v>
      </c>
      <c r="C176" s="2">
        <v>1946</v>
      </c>
      <c r="D176" s="2">
        <v>270</v>
      </c>
      <c r="E176" s="2">
        <v>198350</v>
      </c>
      <c r="F176" s="2">
        <v>7.5</v>
      </c>
      <c r="G176" s="9">
        <v>11805</v>
      </c>
      <c r="H176" s="57">
        <f t="shared" si="4"/>
        <v>8.4497101083942528E-3</v>
      </c>
      <c r="I176" s="73">
        <f t="shared" si="5"/>
        <v>1676</v>
      </c>
    </row>
    <row r="177" spans="1:9" ht="15.75" customHeight="1" x14ac:dyDescent="0.3">
      <c r="A177" s="71" t="s">
        <v>588</v>
      </c>
      <c r="B177" s="2" t="s">
        <v>27</v>
      </c>
      <c r="C177" s="2">
        <v>1957</v>
      </c>
      <c r="D177" s="2">
        <v>490</v>
      </c>
      <c r="E177" s="2">
        <v>435726</v>
      </c>
      <c r="F177" s="2">
        <v>4.7300000000000004</v>
      </c>
      <c r="G177" s="9">
        <v>15969</v>
      </c>
      <c r="H177" s="57">
        <f t="shared" si="4"/>
        <v>3.3667947287974553E-3</v>
      </c>
      <c r="I177" s="73">
        <f t="shared" si="5"/>
        <v>1467</v>
      </c>
    </row>
    <row r="178" spans="1:9" ht="15.75" customHeight="1" x14ac:dyDescent="0.3">
      <c r="A178" s="71" t="s">
        <v>412</v>
      </c>
      <c r="B178" s="2" t="s">
        <v>33</v>
      </c>
      <c r="C178" s="2">
        <v>559</v>
      </c>
      <c r="D178" s="2">
        <v>392</v>
      </c>
      <c r="E178" s="2">
        <v>78789</v>
      </c>
      <c r="F178" s="2">
        <v>3.19</v>
      </c>
      <c r="G178" s="9">
        <v>2436</v>
      </c>
      <c r="H178" s="57">
        <f t="shared" si="4"/>
        <v>2.1195852212872357E-3</v>
      </c>
      <c r="I178" s="73">
        <f t="shared" si="5"/>
        <v>167</v>
      </c>
    </row>
    <row r="179" spans="1:9" ht="15.75" customHeight="1" x14ac:dyDescent="0.3">
      <c r="A179" s="71" t="s">
        <v>412</v>
      </c>
      <c r="B179" s="2" t="s">
        <v>43</v>
      </c>
      <c r="C179" s="2">
        <v>1307</v>
      </c>
      <c r="D179" s="2">
        <v>278</v>
      </c>
      <c r="E179" s="2">
        <v>98596</v>
      </c>
      <c r="F179" s="2">
        <v>2.4900000000000002</v>
      </c>
      <c r="G179" s="9">
        <v>47603</v>
      </c>
      <c r="H179" s="57">
        <f t="shared" si="4"/>
        <v>1.0436528865268368E-2</v>
      </c>
      <c r="I179" s="73">
        <f t="shared" si="5"/>
        <v>1029</v>
      </c>
    </row>
    <row r="180" spans="1:9" ht="15.75" customHeight="1" x14ac:dyDescent="0.3">
      <c r="A180" s="71" t="s">
        <v>412</v>
      </c>
      <c r="B180" s="2" t="s">
        <v>14</v>
      </c>
      <c r="C180" s="2">
        <v>1432</v>
      </c>
      <c r="D180" s="2">
        <v>425</v>
      </c>
      <c r="E180" s="2">
        <v>29589</v>
      </c>
      <c r="F180" s="2">
        <v>4.5</v>
      </c>
      <c r="G180" s="9">
        <v>42964</v>
      </c>
      <c r="H180" s="57">
        <f t="shared" si="4"/>
        <v>3.4032917638311531E-2</v>
      </c>
      <c r="I180" s="73">
        <f t="shared" si="5"/>
        <v>1007</v>
      </c>
    </row>
    <row r="181" spans="1:9" ht="15.75" customHeight="1" x14ac:dyDescent="0.3">
      <c r="A181" s="71" t="s">
        <v>412</v>
      </c>
      <c r="B181" s="2" t="s">
        <v>27</v>
      </c>
      <c r="C181" s="2">
        <v>623</v>
      </c>
      <c r="D181" s="2">
        <v>414</v>
      </c>
      <c r="E181" s="2">
        <v>290354</v>
      </c>
      <c r="F181" s="2">
        <v>6.49</v>
      </c>
      <c r="G181" s="9">
        <v>39923</v>
      </c>
      <c r="H181" s="57">
        <f t="shared" si="4"/>
        <v>7.1981098934404211E-4</v>
      </c>
      <c r="I181" s="73">
        <f t="shared" si="5"/>
        <v>209</v>
      </c>
    </row>
    <row r="182" spans="1:9" ht="15.75" customHeight="1" x14ac:dyDescent="0.3">
      <c r="A182" s="71" t="s">
        <v>589</v>
      </c>
      <c r="B182" s="2" t="s">
        <v>33</v>
      </c>
      <c r="C182" s="2">
        <v>198</v>
      </c>
      <c r="D182" s="2">
        <v>358</v>
      </c>
      <c r="E182" s="2">
        <v>66682</v>
      </c>
      <c r="F182" s="2">
        <v>6.73</v>
      </c>
      <c r="G182" s="9">
        <v>2293</v>
      </c>
      <c r="H182" s="57">
        <f t="shared" si="4"/>
        <v>-2.3994481269308059E-3</v>
      </c>
      <c r="I182" s="73">
        <f t="shared" si="5"/>
        <v>-160</v>
      </c>
    </row>
    <row r="183" spans="1:9" ht="15.75" customHeight="1" x14ac:dyDescent="0.3">
      <c r="A183" s="71" t="s">
        <v>589</v>
      </c>
      <c r="B183" s="2" t="s">
        <v>43</v>
      </c>
      <c r="C183" s="2">
        <v>198</v>
      </c>
      <c r="D183" s="2">
        <v>373</v>
      </c>
      <c r="E183" s="2">
        <v>70707</v>
      </c>
      <c r="F183" s="2">
        <v>4.83</v>
      </c>
      <c r="G183" s="9">
        <v>25920</v>
      </c>
      <c r="H183" s="57">
        <f t="shared" si="4"/>
        <v>-2.4750024750024749E-3</v>
      </c>
      <c r="I183" s="73">
        <f t="shared" si="5"/>
        <v>-175</v>
      </c>
    </row>
    <row r="184" spans="1:9" ht="15.75" customHeight="1" x14ac:dyDescent="0.3">
      <c r="A184" s="71" t="s">
        <v>589</v>
      </c>
      <c r="B184" s="2" t="s">
        <v>14</v>
      </c>
      <c r="C184" s="2">
        <v>353</v>
      </c>
      <c r="D184" s="2">
        <v>300</v>
      </c>
      <c r="E184" s="2">
        <v>142507</v>
      </c>
      <c r="F184" s="2">
        <v>5.3</v>
      </c>
      <c r="G184" s="9">
        <v>11035</v>
      </c>
      <c r="H184" s="57">
        <f t="shared" si="4"/>
        <v>3.7191155522184875E-4</v>
      </c>
      <c r="I184" s="73">
        <f t="shared" si="5"/>
        <v>53</v>
      </c>
    </row>
    <row r="185" spans="1:9" ht="15.75" customHeight="1" x14ac:dyDescent="0.3">
      <c r="A185" s="71" t="s">
        <v>589</v>
      </c>
      <c r="B185" s="2" t="s">
        <v>27</v>
      </c>
      <c r="C185" s="2">
        <v>520</v>
      </c>
      <c r="D185" s="2">
        <v>375</v>
      </c>
      <c r="E185" s="2">
        <v>369525</v>
      </c>
      <c r="F185" s="2">
        <v>6.54</v>
      </c>
      <c r="G185" s="9">
        <v>20733</v>
      </c>
      <c r="H185" s="57">
        <f t="shared" si="4"/>
        <v>3.9239564305527366E-4</v>
      </c>
      <c r="I185" s="73">
        <f t="shared" si="5"/>
        <v>145</v>
      </c>
    </row>
    <row r="186" spans="1:9" ht="15.75" customHeight="1" x14ac:dyDescent="0.3">
      <c r="A186" s="71" t="s">
        <v>590</v>
      </c>
      <c r="B186" s="2" t="s">
        <v>33</v>
      </c>
      <c r="C186" s="2">
        <v>961</v>
      </c>
      <c r="D186" s="2">
        <v>358</v>
      </c>
      <c r="E186" s="2">
        <v>62942</v>
      </c>
      <c r="F186" s="2">
        <v>6.8</v>
      </c>
      <c r="G186" s="9">
        <v>18693</v>
      </c>
      <c r="H186" s="57">
        <f t="shared" si="4"/>
        <v>9.5802484827301332E-3</v>
      </c>
      <c r="I186" s="73">
        <f t="shared" si="5"/>
        <v>603</v>
      </c>
    </row>
    <row r="187" spans="1:9" ht="15.75" customHeight="1" x14ac:dyDescent="0.3">
      <c r="A187" s="71" t="s">
        <v>590</v>
      </c>
      <c r="B187" s="2" t="s">
        <v>43</v>
      </c>
      <c r="C187" s="2">
        <v>1375</v>
      </c>
      <c r="D187" s="2">
        <v>330</v>
      </c>
      <c r="E187" s="2">
        <v>377382</v>
      </c>
      <c r="F187" s="2">
        <v>2.6</v>
      </c>
      <c r="G187" s="9">
        <v>7875</v>
      </c>
      <c r="H187" s="57">
        <f t="shared" si="4"/>
        <v>2.7690774864725927E-3</v>
      </c>
      <c r="I187" s="73">
        <f t="shared" si="5"/>
        <v>1045</v>
      </c>
    </row>
    <row r="188" spans="1:9" ht="15.75" customHeight="1" x14ac:dyDescent="0.3">
      <c r="A188" s="71" t="s">
        <v>590</v>
      </c>
      <c r="B188" s="2" t="s">
        <v>14</v>
      </c>
      <c r="C188" s="2">
        <v>1147</v>
      </c>
      <c r="D188" s="2">
        <v>388</v>
      </c>
      <c r="E188" s="2">
        <v>333851</v>
      </c>
      <c r="F188" s="2">
        <v>2.44</v>
      </c>
      <c r="G188" s="9">
        <v>8471</v>
      </c>
      <c r="H188" s="57">
        <f t="shared" si="4"/>
        <v>2.2734693021737242E-3</v>
      </c>
      <c r="I188" s="73">
        <f t="shared" si="5"/>
        <v>759</v>
      </c>
    </row>
    <row r="189" spans="1:9" ht="15.75" customHeight="1" x14ac:dyDescent="0.3">
      <c r="A189" s="71" t="s">
        <v>590</v>
      </c>
      <c r="B189" s="2" t="s">
        <v>27</v>
      </c>
      <c r="C189" s="2">
        <v>1707</v>
      </c>
      <c r="D189" s="2">
        <v>74</v>
      </c>
      <c r="E189" s="2">
        <v>270958</v>
      </c>
      <c r="F189" s="2">
        <v>3.09</v>
      </c>
      <c r="G189" s="9">
        <v>14090</v>
      </c>
      <c r="H189" s="57">
        <f t="shared" si="4"/>
        <v>6.0267642955734836E-3</v>
      </c>
      <c r="I189" s="73">
        <f t="shared" si="5"/>
        <v>1633</v>
      </c>
    </row>
    <row r="190" spans="1:9" ht="15.75" customHeight="1" x14ac:dyDescent="0.3">
      <c r="A190" s="71" t="s">
        <v>364</v>
      </c>
      <c r="B190" s="2" t="s">
        <v>33</v>
      </c>
      <c r="C190" s="2">
        <v>1693</v>
      </c>
      <c r="D190" s="2">
        <v>154</v>
      </c>
      <c r="E190" s="2">
        <v>445944</v>
      </c>
      <c r="F190" s="2">
        <v>5.69</v>
      </c>
      <c r="G190" s="9">
        <v>14216</v>
      </c>
      <c r="H190" s="57">
        <f t="shared" si="4"/>
        <v>3.4511059684624078E-3</v>
      </c>
      <c r="I190" s="73">
        <f t="shared" si="5"/>
        <v>1539</v>
      </c>
    </row>
    <row r="191" spans="1:9" ht="15.75" customHeight="1" x14ac:dyDescent="0.3">
      <c r="A191" s="71" t="s">
        <v>364</v>
      </c>
      <c r="B191" s="2" t="s">
        <v>43</v>
      </c>
      <c r="C191" s="2">
        <v>833</v>
      </c>
      <c r="D191" s="2">
        <v>380</v>
      </c>
      <c r="E191" s="2">
        <v>224830</v>
      </c>
      <c r="F191" s="2">
        <v>3.86</v>
      </c>
      <c r="G191" s="9">
        <v>3582</v>
      </c>
      <c r="H191" s="57">
        <f t="shared" si="4"/>
        <v>2.014855668727483E-3</v>
      </c>
      <c r="I191" s="73">
        <f t="shared" si="5"/>
        <v>453</v>
      </c>
    </row>
    <row r="192" spans="1:9" ht="15.75" customHeight="1" x14ac:dyDescent="0.3">
      <c r="A192" s="71" t="s">
        <v>364</v>
      </c>
      <c r="B192" s="2" t="s">
        <v>14</v>
      </c>
      <c r="C192" s="2">
        <v>1222</v>
      </c>
      <c r="D192" s="2">
        <v>274</v>
      </c>
      <c r="E192" s="2">
        <v>487289</v>
      </c>
      <c r="F192" s="2">
        <v>3.16</v>
      </c>
      <c r="G192" s="9">
        <v>32500</v>
      </c>
      <c r="H192" s="57">
        <f t="shared" si="4"/>
        <v>1.9454574184929272E-3</v>
      </c>
      <c r="I192" s="73">
        <f t="shared" si="5"/>
        <v>948</v>
      </c>
    </row>
    <row r="193" spans="1:9" ht="15.75" customHeight="1" x14ac:dyDescent="0.3">
      <c r="A193" s="71" t="s">
        <v>364</v>
      </c>
      <c r="B193" s="2" t="s">
        <v>27</v>
      </c>
      <c r="C193" s="2">
        <v>777</v>
      </c>
      <c r="D193" s="2">
        <v>140</v>
      </c>
      <c r="E193" s="2">
        <v>11435</v>
      </c>
      <c r="F193" s="2">
        <v>1.6</v>
      </c>
      <c r="G193" s="9">
        <v>6832</v>
      </c>
      <c r="H193" s="57">
        <f t="shared" si="4"/>
        <v>5.5706165282028861E-2</v>
      </c>
      <c r="I193" s="73">
        <f t="shared" si="5"/>
        <v>637</v>
      </c>
    </row>
    <row r="194" spans="1:9" ht="15.75" customHeight="1" x14ac:dyDescent="0.3">
      <c r="A194" s="71" t="s">
        <v>79</v>
      </c>
      <c r="B194" s="2" t="s">
        <v>33</v>
      </c>
      <c r="C194" s="2">
        <v>1957</v>
      </c>
      <c r="D194" s="2">
        <v>76</v>
      </c>
      <c r="E194" s="2">
        <v>447902</v>
      </c>
      <c r="F194" s="2">
        <v>6.09</v>
      </c>
      <c r="G194" s="9">
        <v>33381</v>
      </c>
      <c r="H194" s="57">
        <f t="shared" si="4"/>
        <v>4.1995793722733989E-3</v>
      </c>
      <c r="I194" s="73">
        <f t="shared" si="5"/>
        <v>1881</v>
      </c>
    </row>
    <row r="195" spans="1:9" ht="15.75" customHeight="1" x14ac:dyDescent="0.3">
      <c r="A195" s="71" t="s">
        <v>79</v>
      </c>
      <c r="B195" s="2" t="s">
        <v>43</v>
      </c>
      <c r="C195" s="2">
        <v>405</v>
      </c>
      <c r="D195" s="2">
        <v>66</v>
      </c>
      <c r="E195" s="2">
        <v>418696</v>
      </c>
      <c r="F195" s="2">
        <v>5.59</v>
      </c>
      <c r="G195" s="9">
        <v>48419</v>
      </c>
      <c r="H195" s="57">
        <f t="shared" ref="H195:H201" si="6">((C195-D195)/E195)</f>
        <v>8.0965664826031301E-4</v>
      </c>
      <c r="I195" s="73">
        <f t="shared" ref="I195:I201" si="7">C195-D195</f>
        <v>339</v>
      </c>
    </row>
    <row r="196" spans="1:9" ht="15.75" customHeight="1" x14ac:dyDescent="0.3">
      <c r="A196" s="71" t="s">
        <v>79</v>
      </c>
      <c r="B196" s="2" t="s">
        <v>14</v>
      </c>
      <c r="C196" s="2">
        <v>1581</v>
      </c>
      <c r="D196" s="2">
        <v>71</v>
      </c>
      <c r="E196" s="2">
        <v>484364</v>
      </c>
      <c r="F196" s="2">
        <v>3.55</v>
      </c>
      <c r="G196" s="9">
        <v>16149</v>
      </c>
      <c r="H196" s="57">
        <f t="shared" si="6"/>
        <v>3.1174901520344203E-3</v>
      </c>
      <c r="I196" s="73">
        <f t="shared" si="7"/>
        <v>1510</v>
      </c>
    </row>
    <row r="197" spans="1:9" ht="15.75" customHeight="1" x14ac:dyDescent="0.3">
      <c r="A197" s="71" t="s">
        <v>79</v>
      </c>
      <c r="B197" s="2" t="s">
        <v>27</v>
      </c>
      <c r="C197" s="2">
        <v>1035</v>
      </c>
      <c r="D197" s="2">
        <v>171</v>
      </c>
      <c r="E197" s="2">
        <v>148477</v>
      </c>
      <c r="F197" s="2">
        <v>5.21</v>
      </c>
      <c r="G197" s="9">
        <v>7541</v>
      </c>
      <c r="H197" s="57">
        <f t="shared" si="6"/>
        <v>5.8190830903102836E-3</v>
      </c>
      <c r="I197" s="73">
        <f t="shared" si="7"/>
        <v>864</v>
      </c>
    </row>
    <row r="198" spans="1:9" ht="15.75" customHeight="1" x14ac:dyDescent="0.3">
      <c r="A198" s="71" t="s">
        <v>28</v>
      </c>
      <c r="B198" s="2" t="s">
        <v>33</v>
      </c>
      <c r="C198" s="2">
        <v>1765</v>
      </c>
      <c r="D198" s="2">
        <v>109</v>
      </c>
      <c r="E198" s="2">
        <v>468301</v>
      </c>
      <c r="F198" s="2">
        <v>1.82</v>
      </c>
      <c r="G198" s="9">
        <v>20042</v>
      </c>
      <c r="H198" s="57">
        <f t="shared" si="6"/>
        <v>3.5361871958419907E-3</v>
      </c>
      <c r="I198" s="73">
        <f t="shared" si="7"/>
        <v>1656</v>
      </c>
    </row>
    <row r="199" spans="1:9" ht="15.75" customHeight="1" x14ac:dyDescent="0.3">
      <c r="A199" s="71" t="s">
        <v>28</v>
      </c>
      <c r="B199" s="2" t="s">
        <v>43</v>
      </c>
      <c r="C199" s="2">
        <v>837</v>
      </c>
      <c r="D199" s="2">
        <v>430</v>
      </c>
      <c r="E199" s="2">
        <v>364820</v>
      </c>
      <c r="F199" s="2">
        <v>4</v>
      </c>
      <c r="G199" s="9">
        <v>49400</v>
      </c>
      <c r="H199" s="57">
        <f t="shared" si="6"/>
        <v>1.1156186612576065E-3</v>
      </c>
      <c r="I199" s="73">
        <f t="shared" si="7"/>
        <v>407</v>
      </c>
    </row>
    <row r="200" spans="1:9" ht="15.75" customHeight="1" x14ac:dyDescent="0.3">
      <c r="A200" s="71" t="s">
        <v>28</v>
      </c>
      <c r="B200" s="2" t="s">
        <v>14</v>
      </c>
      <c r="C200" s="2">
        <v>337</v>
      </c>
      <c r="D200" s="2">
        <v>68</v>
      </c>
      <c r="E200" s="2">
        <v>456298</v>
      </c>
      <c r="F200" s="2">
        <v>7.57</v>
      </c>
      <c r="G200" s="9">
        <v>4007</v>
      </c>
      <c r="H200" s="57">
        <f t="shared" si="6"/>
        <v>5.8952701962314107E-4</v>
      </c>
      <c r="I200" s="73">
        <f t="shared" si="7"/>
        <v>269</v>
      </c>
    </row>
    <row r="201" spans="1:9" ht="15.75" customHeight="1" x14ac:dyDescent="0.3">
      <c r="A201" s="71" t="s">
        <v>28</v>
      </c>
      <c r="B201" s="2" t="s">
        <v>27</v>
      </c>
      <c r="C201" s="2">
        <v>119</v>
      </c>
      <c r="D201" s="2">
        <v>456</v>
      </c>
      <c r="E201" s="2">
        <v>82558</v>
      </c>
      <c r="F201" s="2">
        <v>6.81</v>
      </c>
      <c r="G201" s="9">
        <v>12174</v>
      </c>
      <c r="H201" s="57">
        <f t="shared" si="6"/>
        <v>-4.0819787301048958E-3</v>
      </c>
      <c r="I201" s="73">
        <f t="shared" si="7"/>
        <v>-337</v>
      </c>
    </row>
    <row r="202" spans="1:9" ht="15.75" customHeight="1" x14ac:dyDescent="0.3"/>
    <row r="203" spans="1:9" ht="15.75" customHeight="1" x14ac:dyDescent="0.3"/>
    <row r="204" spans="1:9" ht="15.75" customHeight="1" x14ac:dyDescent="0.3"/>
    <row r="205" spans="1:9" ht="15.75" customHeight="1" x14ac:dyDescent="0.3"/>
    <row r="206" spans="1:9" ht="15.75" customHeight="1" x14ac:dyDescent="0.3"/>
    <row r="207" spans="1:9" ht="15.75" customHeight="1" x14ac:dyDescent="0.3"/>
    <row r="208" spans="1:9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5C26-4245-42A7-9D6D-0E0CDE130153}">
  <dimension ref="B1:K1867"/>
  <sheetViews>
    <sheetView zoomScaleNormal="100" workbookViewId="0">
      <selection activeCell="I1" sqref="I1"/>
    </sheetView>
  </sheetViews>
  <sheetFormatPr defaultRowHeight="14.4" x14ac:dyDescent="0.3"/>
  <cols>
    <col min="1" max="1" width="7.77734375" customWidth="1"/>
    <col min="2" max="2" width="17.33203125" style="11" customWidth="1"/>
    <col min="3" max="3" width="20.21875" style="11" customWidth="1"/>
    <col min="4" max="4" width="13.44140625" customWidth="1"/>
    <col min="5" max="5" width="16.33203125" customWidth="1"/>
    <col min="6" max="6" width="19.77734375" customWidth="1"/>
    <col min="7" max="8" width="19.44140625" customWidth="1"/>
    <col min="9" max="10" width="24.5546875" customWidth="1"/>
    <col min="11" max="11" width="19.88671875" customWidth="1"/>
  </cols>
  <sheetData>
    <row r="1" spans="2:11" x14ac:dyDescent="0.3">
      <c r="B1" s="100" t="s">
        <v>678</v>
      </c>
      <c r="C1" s="100"/>
      <c r="D1" s="100"/>
    </row>
    <row r="2" spans="2:11" x14ac:dyDescent="0.3">
      <c r="B2"/>
      <c r="C2"/>
    </row>
    <row r="3" spans="2:11" x14ac:dyDescent="0.3">
      <c r="B3" s="5" t="s">
        <v>615</v>
      </c>
      <c r="C3" s="68" t="s">
        <v>635</v>
      </c>
      <c r="D3" s="68" t="s">
        <v>617</v>
      </c>
      <c r="E3" s="68" t="s">
        <v>624</v>
      </c>
      <c r="F3" s="68" t="s">
        <v>625</v>
      </c>
      <c r="G3" s="68" t="s">
        <v>637</v>
      </c>
      <c r="H3" s="68" t="s">
        <v>636</v>
      </c>
    </row>
    <row r="4" spans="2:11" x14ac:dyDescent="0.3">
      <c r="B4" s="6" t="s">
        <v>19</v>
      </c>
      <c r="C4">
        <v>2090555</v>
      </c>
      <c r="D4">
        <v>154613</v>
      </c>
      <c r="E4">
        <v>7094</v>
      </c>
      <c r="F4" s="26">
        <v>133.84905660377359</v>
      </c>
      <c r="G4" s="26">
        <v>2917.2264150943397</v>
      </c>
      <c r="H4" s="26">
        <v>39444.433962264149</v>
      </c>
    </row>
    <row r="5" spans="2:11" x14ac:dyDescent="0.3">
      <c r="B5" s="6" t="s">
        <v>31</v>
      </c>
      <c r="C5">
        <v>2507489</v>
      </c>
      <c r="D5">
        <v>201400</v>
      </c>
      <c r="E5">
        <v>11039</v>
      </c>
      <c r="F5" s="26">
        <v>145.25</v>
      </c>
      <c r="G5" s="26">
        <v>2650</v>
      </c>
      <c r="H5" s="26">
        <v>32993.276315789473</v>
      </c>
    </row>
    <row r="6" spans="2:11" x14ac:dyDescent="0.3">
      <c r="B6" s="6" t="s">
        <v>25</v>
      </c>
      <c r="C6">
        <v>2318527</v>
      </c>
      <c r="D6">
        <v>185071</v>
      </c>
      <c r="E6">
        <v>11168</v>
      </c>
      <c r="F6" s="26">
        <v>164.23529411764707</v>
      </c>
      <c r="G6" s="26">
        <v>2721.6323529411766</v>
      </c>
      <c r="H6" s="26">
        <v>34095.98529411765</v>
      </c>
    </row>
    <row r="7" spans="2:11" x14ac:dyDescent="0.3">
      <c r="B7" s="6" t="s">
        <v>38</v>
      </c>
      <c r="C7">
        <v>2905567</v>
      </c>
      <c r="D7">
        <v>219562</v>
      </c>
      <c r="E7">
        <v>12544</v>
      </c>
      <c r="F7" s="26">
        <v>154.8641975308642</v>
      </c>
      <c r="G7" s="26">
        <v>2710.641975308642</v>
      </c>
      <c r="H7" s="26">
        <v>35871.1975308642</v>
      </c>
    </row>
    <row r="8" spans="2:11" x14ac:dyDescent="0.3">
      <c r="B8" s="6" t="s">
        <v>616</v>
      </c>
      <c r="C8">
        <v>9822138</v>
      </c>
      <c r="D8">
        <v>760646</v>
      </c>
      <c r="E8">
        <v>41845</v>
      </c>
      <c r="F8" s="26">
        <v>150.52158273381295</v>
      </c>
      <c r="G8" s="26">
        <v>2736.1366906474818</v>
      </c>
      <c r="H8" s="26">
        <v>35331.431654676257</v>
      </c>
    </row>
    <row r="9" spans="2:11" x14ac:dyDescent="0.3">
      <c r="B9" s="6"/>
      <c r="C9"/>
      <c r="F9" s="26"/>
      <c r="G9" s="26"/>
      <c r="H9" s="26"/>
    </row>
    <row r="10" spans="2:11" x14ac:dyDescent="0.3">
      <c r="B10" s="6"/>
      <c r="C10"/>
      <c r="F10" s="26"/>
      <c r="G10" s="26"/>
      <c r="H10" s="26"/>
    </row>
    <row r="11" spans="2:11" x14ac:dyDescent="0.3">
      <c r="B11"/>
      <c r="C11"/>
    </row>
    <row r="12" spans="2:11" x14ac:dyDescent="0.3">
      <c r="B12"/>
      <c r="C12"/>
    </row>
    <row r="13" spans="2:11" x14ac:dyDescent="0.3">
      <c r="B13" s="100" t="s">
        <v>679</v>
      </c>
      <c r="C13" s="100"/>
      <c r="D13" s="100"/>
      <c r="E13" s="100"/>
    </row>
    <row r="14" spans="2:11" x14ac:dyDescent="0.3">
      <c r="B14"/>
      <c r="C14"/>
    </row>
    <row r="15" spans="2:11" x14ac:dyDescent="0.3">
      <c r="B15" s="37" t="s">
        <v>12</v>
      </c>
      <c r="C15" s="38" t="s">
        <v>591</v>
      </c>
      <c r="D15" s="38" t="s">
        <v>592</v>
      </c>
      <c r="E15" s="39" t="s">
        <v>646</v>
      </c>
      <c r="F15" s="39" t="s">
        <v>647</v>
      </c>
      <c r="G15" s="39" t="s">
        <v>648</v>
      </c>
      <c r="H15" s="39" t="s">
        <v>649</v>
      </c>
      <c r="I15" s="39" t="s">
        <v>650</v>
      </c>
      <c r="J15" s="39" t="s">
        <v>651</v>
      </c>
      <c r="K15" s="40" t="s">
        <v>652</v>
      </c>
    </row>
    <row r="16" spans="2:11" x14ac:dyDescent="0.3">
      <c r="B16" s="35" t="s">
        <v>19</v>
      </c>
      <c r="C16" s="32">
        <v>45458</v>
      </c>
      <c r="D16" s="32">
        <v>45488</v>
      </c>
      <c r="E16" s="33">
        <f>D16-C16+1</f>
        <v>31</v>
      </c>
      <c r="F16" s="34">
        <f>C16-E16</f>
        <v>45427</v>
      </c>
      <c r="G16" s="33">
        <f>SUM(SUMIFS(Posts_2[Likes],Posts_2[Date],"&gt;="&amp;C16,Posts_2[Date],"&lt;="&amp;D16),SUMIFS(Posts_2[Shares],Posts_2[Date],"&gt;="&amp;C16,Posts_2[Date],"&lt;="&amp;D16),SUMIFS(Posts_2[Comments],Posts_2[Date],"&gt;="&amp;C16,Posts_2[Date],"&lt;="&amp;D16))</f>
        <v>111295</v>
      </c>
      <c r="H16" s="33">
        <f>SUM(SUMIFS(Posts_2[Likes],Posts_2[Date],"&gt;="&amp;F16,Posts_2[Date],"&lt;="&amp;C16),SUMIFS(Posts_2[Shares],Posts_2[Date],"&gt;="&amp;F16,Posts_2[Date],"&lt;="&amp;C16),SUMIFS(Posts_2[Comments],Posts_2[Date],"&gt;="&amp;F16,Posts_2[Date],"&lt;="&amp;C16))</f>
        <v>51265</v>
      </c>
      <c r="I16" s="33">
        <f>G16/E16</f>
        <v>3590.1612903225805</v>
      </c>
      <c r="J16" s="33">
        <f>H16/E16</f>
        <v>1653.7096774193549</v>
      </c>
      <c r="K16" s="36">
        <f>(I16-J16)/I16</f>
        <v>0.53937733051799275</v>
      </c>
    </row>
    <row r="17" spans="2:11" x14ac:dyDescent="0.3">
      <c r="B17" s="35" t="s">
        <v>25</v>
      </c>
      <c r="C17" s="32">
        <v>45566</v>
      </c>
      <c r="D17" s="32">
        <v>45596</v>
      </c>
      <c r="E17" s="33">
        <f>D17-C17+1</f>
        <v>31</v>
      </c>
      <c r="F17" s="34">
        <f>C17-E17</f>
        <v>45535</v>
      </c>
      <c r="G17" s="33">
        <f>SUM(SUMIFS(Posts_2[Likes],Posts_2[Date],"&gt;="&amp;C17,Posts_2[Date],"&lt;="&amp;D17),SUMIFS(Posts_2[Shares],Posts_2[Date],"&gt;="&amp;C17,Posts_2[Date],"&lt;="&amp;D17),SUMIFS(Posts_2[Comments],Posts_2[Date],"&gt;="&amp;C17,Posts_2[Date],"&lt;="&amp;D17))</f>
        <v>151201</v>
      </c>
      <c r="H17" s="33">
        <f>SUM(SUMIFS(Posts_2[Likes],Posts_2[Date],"&gt;="&amp;F17,Posts_2[Date],"&lt;="&amp;C17),SUMIFS(Posts_2[Shares],Posts_2[Date],"&gt;="&amp;F17,Posts_2[Date],"&lt;="&amp;C17),SUMIFS(Posts_2[Comments],Posts_2[Date],"&gt;="&amp;F17,Posts_2[Date],"&lt;="&amp;C17))</f>
        <v>70402</v>
      </c>
      <c r="I17" s="33">
        <f t="shared" ref="I17:I19" si="0">G17/E17</f>
        <v>4877.4516129032254</v>
      </c>
      <c r="J17" s="33">
        <f t="shared" ref="J17:J19" si="1">H17/E17</f>
        <v>2271.0322580645161</v>
      </c>
      <c r="K17" s="36">
        <f t="shared" ref="K17:K19" si="2">(I17-J17)/I17</f>
        <v>0.53438138636649224</v>
      </c>
    </row>
    <row r="18" spans="2:11" x14ac:dyDescent="0.3">
      <c r="B18" s="35" t="s">
        <v>31</v>
      </c>
      <c r="C18" s="32">
        <v>45651</v>
      </c>
      <c r="D18" s="32">
        <v>45667</v>
      </c>
      <c r="E18" s="33">
        <f>D18-C18+1</f>
        <v>17</v>
      </c>
      <c r="F18" s="34">
        <f>C18-E18</f>
        <v>45634</v>
      </c>
      <c r="G18" s="33">
        <f>SUM(SUMIFS(Posts_2[Likes],Posts_2[Date],"&gt;="&amp;C18,Posts_2[Date],"&lt;="&amp;D18),SUMIFS(Posts_2[Shares],Posts_2[Date],"&gt;="&amp;C18,Posts_2[Date],"&lt;="&amp;D18),SUMIFS(Posts_2[Comments],Posts_2[Date],"&gt;="&amp;C18,Posts_2[Date],"&lt;="&amp;D18))</f>
        <v>37939</v>
      </c>
      <c r="H18" s="33">
        <f>SUM(SUMIFS(Posts_2[Likes],Posts_2[Date],"&gt;="&amp;F18,Posts_2[Date],"&lt;="&amp;C18),SUMIFS(Posts_2[Shares],Posts_2[Date],"&gt;="&amp;F18,Posts_2[Date],"&lt;="&amp;C18),SUMIFS(Posts_2[Comments],Posts_2[Date],"&gt;="&amp;F18,Posts_2[Date],"&lt;="&amp;C18))</f>
        <v>44013</v>
      </c>
      <c r="I18" s="33">
        <f t="shared" si="0"/>
        <v>2231.705882352941</v>
      </c>
      <c r="J18" s="33">
        <f t="shared" si="1"/>
        <v>2589</v>
      </c>
      <c r="K18" s="36">
        <f t="shared" si="2"/>
        <v>-0.1600991064603707</v>
      </c>
    </row>
    <row r="19" spans="2:11" x14ac:dyDescent="0.3">
      <c r="B19" s="41" t="s">
        <v>38</v>
      </c>
      <c r="C19" s="42">
        <v>45717</v>
      </c>
      <c r="D19" s="42">
        <v>45747</v>
      </c>
      <c r="E19" s="43">
        <f>D19-C19+1</f>
        <v>31</v>
      </c>
      <c r="F19" s="44">
        <f>C19-E19</f>
        <v>45686</v>
      </c>
      <c r="G19" s="43">
        <f>SUM(SUMIFS(Posts_2[Likes],Posts_2[Date],"&gt;="&amp;C19,Posts_2[Date],"&lt;="&amp;D19),SUMIFS(Posts_2[Shares],Posts_2[Date],"&gt;="&amp;C19,Posts_2[Date],"&lt;="&amp;D19),SUMIFS(Posts_2[Comments],Posts_2[Date],"&gt;="&amp;C19,Posts_2[Date],"&lt;="&amp;D19))</f>
        <v>109681</v>
      </c>
      <c r="H19" s="43">
        <f>SUM(SUMIFS(Posts_2[Likes],Posts_2[Date],"&gt;="&amp;F19,Posts_2[Date],"&lt;="&amp;C19),SUMIFS(Posts_2[Shares],Posts_2[Date],"&gt;="&amp;F19,Posts_2[Date],"&lt;="&amp;C19),SUMIFS(Posts_2[Comments],Posts_2[Date],"&gt;="&amp;F19,Posts_2[Date],"&lt;="&amp;C19))</f>
        <v>94640</v>
      </c>
      <c r="I19" s="43">
        <f t="shared" si="0"/>
        <v>3538.0967741935483</v>
      </c>
      <c r="J19" s="43">
        <f t="shared" si="1"/>
        <v>3052.9032258064517</v>
      </c>
      <c r="K19" s="45">
        <f t="shared" si="2"/>
        <v>0.13713405238828963</v>
      </c>
    </row>
    <row r="20" spans="2:11" x14ac:dyDescent="0.3">
      <c r="B20"/>
      <c r="C20"/>
    </row>
    <row r="21" spans="2:11" x14ac:dyDescent="0.3">
      <c r="B21" t="s">
        <v>690</v>
      </c>
      <c r="C21"/>
    </row>
    <row r="22" spans="2:11" x14ac:dyDescent="0.3">
      <c r="B22"/>
      <c r="C22" s="30"/>
      <c r="D22" s="30"/>
    </row>
    <row r="23" spans="2:11" x14ac:dyDescent="0.3">
      <c r="B23"/>
      <c r="C23" s="30"/>
      <c r="D23" s="30"/>
    </row>
    <row r="24" spans="2:11" x14ac:dyDescent="0.3">
      <c r="B24"/>
      <c r="C24"/>
      <c r="D24" s="30"/>
    </row>
    <row r="25" spans="2:11" x14ac:dyDescent="0.3">
      <c r="B25"/>
      <c r="C25"/>
      <c r="D25" s="30"/>
    </row>
    <row r="26" spans="2:11" x14ac:dyDescent="0.3">
      <c r="B26"/>
      <c r="C26"/>
    </row>
    <row r="27" spans="2:11" x14ac:dyDescent="0.3">
      <c r="B27"/>
      <c r="C27"/>
    </row>
    <row r="28" spans="2:11" x14ac:dyDescent="0.3">
      <c r="B28"/>
      <c r="C28"/>
    </row>
    <row r="29" spans="2:11" x14ac:dyDescent="0.3">
      <c r="B29"/>
      <c r="C29"/>
    </row>
    <row r="30" spans="2:11" x14ac:dyDescent="0.3">
      <c r="B30"/>
      <c r="C30"/>
    </row>
    <row r="31" spans="2:11" x14ac:dyDescent="0.3">
      <c r="B31"/>
      <c r="C31"/>
    </row>
    <row r="32" spans="2:11" x14ac:dyDescent="0.3">
      <c r="B32"/>
      <c r="C32"/>
    </row>
    <row r="33" spans="2:3" x14ac:dyDescent="0.3">
      <c r="B33"/>
      <c r="C33"/>
    </row>
    <row r="34" spans="2:3" x14ac:dyDescent="0.3">
      <c r="B34"/>
      <c r="C34"/>
    </row>
    <row r="35" spans="2:3" x14ac:dyDescent="0.3">
      <c r="B35"/>
      <c r="C35"/>
    </row>
    <row r="36" spans="2:3" x14ac:dyDescent="0.3">
      <c r="B36"/>
      <c r="C36"/>
    </row>
    <row r="37" spans="2:3" x14ac:dyDescent="0.3">
      <c r="B37"/>
      <c r="C37"/>
    </row>
    <row r="38" spans="2:3" x14ac:dyDescent="0.3">
      <c r="B38"/>
      <c r="C38"/>
    </row>
    <row r="39" spans="2:3" x14ac:dyDescent="0.3">
      <c r="B39"/>
      <c r="C39"/>
    </row>
    <row r="40" spans="2:3" x14ac:dyDescent="0.3">
      <c r="B40"/>
      <c r="C40"/>
    </row>
    <row r="41" spans="2:3" x14ac:dyDescent="0.3">
      <c r="B41"/>
      <c r="C41"/>
    </row>
    <row r="42" spans="2:3" x14ac:dyDescent="0.3">
      <c r="B42"/>
      <c r="C42"/>
    </row>
    <row r="43" spans="2:3" x14ac:dyDescent="0.3">
      <c r="B43"/>
      <c r="C43"/>
    </row>
    <row r="44" spans="2:3" x14ac:dyDescent="0.3">
      <c r="B44"/>
      <c r="C44"/>
    </row>
    <row r="45" spans="2:3" x14ac:dyDescent="0.3">
      <c r="B45"/>
      <c r="C45"/>
    </row>
    <row r="46" spans="2:3" x14ac:dyDescent="0.3">
      <c r="B46"/>
      <c r="C46"/>
    </row>
    <row r="47" spans="2:3" x14ac:dyDescent="0.3">
      <c r="B47"/>
      <c r="C47"/>
    </row>
    <row r="48" spans="2:3" x14ac:dyDescent="0.3">
      <c r="B48"/>
      <c r="C48"/>
    </row>
    <row r="49" spans="2:3" x14ac:dyDescent="0.3">
      <c r="B49"/>
      <c r="C49"/>
    </row>
    <row r="50" spans="2:3" x14ac:dyDescent="0.3">
      <c r="B50"/>
      <c r="C50"/>
    </row>
    <row r="51" spans="2:3" x14ac:dyDescent="0.3">
      <c r="B51"/>
      <c r="C51"/>
    </row>
    <row r="52" spans="2:3" x14ac:dyDescent="0.3">
      <c r="B52"/>
      <c r="C52"/>
    </row>
    <row r="53" spans="2:3" x14ac:dyDescent="0.3">
      <c r="B53"/>
      <c r="C53"/>
    </row>
    <row r="54" spans="2:3" x14ac:dyDescent="0.3">
      <c r="B54"/>
      <c r="C54"/>
    </row>
    <row r="55" spans="2:3" x14ac:dyDescent="0.3">
      <c r="B55"/>
      <c r="C55"/>
    </row>
    <row r="56" spans="2:3" x14ac:dyDescent="0.3">
      <c r="B56"/>
      <c r="C56"/>
    </row>
    <row r="57" spans="2:3" x14ac:dyDescent="0.3">
      <c r="B57"/>
      <c r="C57"/>
    </row>
    <row r="58" spans="2:3" x14ac:dyDescent="0.3">
      <c r="B58"/>
      <c r="C58"/>
    </row>
    <row r="59" spans="2:3" x14ac:dyDescent="0.3">
      <c r="B59"/>
      <c r="C59"/>
    </row>
    <row r="60" spans="2:3" x14ac:dyDescent="0.3">
      <c r="B60"/>
      <c r="C60"/>
    </row>
    <row r="61" spans="2:3" x14ac:dyDescent="0.3">
      <c r="B61"/>
      <c r="C61"/>
    </row>
    <row r="62" spans="2:3" x14ac:dyDescent="0.3">
      <c r="B62"/>
      <c r="C62"/>
    </row>
    <row r="63" spans="2:3" x14ac:dyDescent="0.3">
      <c r="B63"/>
      <c r="C63"/>
    </row>
    <row r="64" spans="2:3" x14ac:dyDescent="0.3">
      <c r="B64"/>
      <c r="C64"/>
    </row>
    <row r="65" spans="2:3" x14ac:dyDescent="0.3">
      <c r="B65"/>
      <c r="C65"/>
    </row>
    <row r="66" spans="2:3" x14ac:dyDescent="0.3">
      <c r="B66"/>
      <c r="C66"/>
    </row>
    <row r="67" spans="2:3" x14ac:dyDescent="0.3">
      <c r="B67"/>
      <c r="C67"/>
    </row>
    <row r="68" spans="2:3" x14ac:dyDescent="0.3">
      <c r="B68"/>
      <c r="C68"/>
    </row>
    <row r="69" spans="2:3" x14ac:dyDescent="0.3">
      <c r="B69"/>
      <c r="C69"/>
    </row>
    <row r="70" spans="2:3" x14ac:dyDescent="0.3">
      <c r="B70"/>
      <c r="C70"/>
    </row>
    <row r="71" spans="2:3" x14ac:dyDescent="0.3">
      <c r="B71"/>
      <c r="C71"/>
    </row>
    <row r="72" spans="2:3" x14ac:dyDescent="0.3">
      <c r="B72"/>
      <c r="C72"/>
    </row>
    <row r="73" spans="2:3" x14ac:dyDescent="0.3">
      <c r="B73"/>
      <c r="C73"/>
    </row>
    <row r="74" spans="2:3" x14ac:dyDescent="0.3">
      <c r="B74"/>
      <c r="C74"/>
    </row>
    <row r="75" spans="2:3" x14ac:dyDescent="0.3">
      <c r="B75"/>
      <c r="C75"/>
    </row>
    <row r="76" spans="2:3" x14ac:dyDescent="0.3">
      <c r="B76"/>
      <c r="C76"/>
    </row>
    <row r="77" spans="2:3" x14ac:dyDescent="0.3">
      <c r="B77"/>
      <c r="C77"/>
    </row>
    <row r="78" spans="2:3" x14ac:dyDescent="0.3">
      <c r="B78"/>
      <c r="C78"/>
    </row>
    <row r="79" spans="2:3" x14ac:dyDescent="0.3">
      <c r="B79"/>
      <c r="C79"/>
    </row>
    <row r="80" spans="2:3" x14ac:dyDescent="0.3">
      <c r="B80"/>
      <c r="C80"/>
    </row>
    <row r="81" spans="2:3" x14ac:dyDescent="0.3">
      <c r="B81"/>
      <c r="C81"/>
    </row>
    <row r="82" spans="2:3" x14ac:dyDescent="0.3">
      <c r="B82"/>
      <c r="C82"/>
    </row>
    <row r="83" spans="2:3" x14ac:dyDescent="0.3">
      <c r="B83"/>
      <c r="C83"/>
    </row>
    <row r="84" spans="2:3" x14ac:dyDescent="0.3">
      <c r="B84"/>
      <c r="C84"/>
    </row>
    <row r="85" spans="2:3" x14ac:dyDescent="0.3">
      <c r="B85"/>
      <c r="C85"/>
    </row>
    <row r="86" spans="2:3" x14ac:dyDescent="0.3">
      <c r="B86"/>
      <c r="C86"/>
    </row>
    <row r="87" spans="2:3" x14ac:dyDescent="0.3">
      <c r="B87"/>
      <c r="C87"/>
    </row>
    <row r="88" spans="2:3" x14ac:dyDescent="0.3">
      <c r="B88"/>
      <c r="C88"/>
    </row>
    <row r="89" spans="2:3" x14ac:dyDescent="0.3">
      <c r="B89"/>
      <c r="C89"/>
    </row>
    <row r="90" spans="2:3" x14ac:dyDescent="0.3">
      <c r="B90"/>
      <c r="C90"/>
    </row>
    <row r="91" spans="2:3" x14ac:dyDescent="0.3">
      <c r="B91"/>
      <c r="C91"/>
    </row>
    <row r="92" spans="2:3" x14ac:dyDescent="0.3">
      <c r="B92"/>
      <c r="C92"/>
    </row>
    <row r="93" spans="2:3" x14ac:dyDescent="0.3">
      <c r="B93"/>
      <c r="C93"/>
    </row>
    <row r="94" spans="2:3" x14ac:dyDescent="0.3">
      <c r="B94"/>
      <c r="C94"/>
    </row>
    <row r="95" spans="2:3" x14ac:dyDescent="0.3">
      <c r="B95"/>
      <c r="C95"/>
    </row>
    <row r="96" spans="2:3" x14ac:dyDescent="0.3">
      <c r="B96"/>
      <c r="C96"/>
    </row>
    <row r="97" spans="2:3" x14ac:dyDescent="0.3">
      <c r="B97"/>
      <c r="C97"/>
    </row>
    <row r="98" spans="2:3" x14ac:dyDescent="0.3">
      <c r="B98"/>
      <c r="C98"/>
    </row>
    <row r="99" spans="2:3" x14ac:dyDescent="0.3">
      <c r="B99"/>
      <c r="C99"/>
    </row>
    <row r="100" spans="2:3" x14ac:dyDescent="0.3">
      <c r="B100"/>
      <c r="C100"/>
    </row>
    <row r="101" spans="2:3" x14ac:dyDescent="0.3">
      <c r="B101"/>
      <c r="C101"/>
    </row>
    <row r="102" spans="2:3" x14ac:dyDescent="0.3">
      <c r="B102"/>
      <c r="C102"/>
    </row>
    <row r="103" spans="2:3" x14ac:dyDescent="0.3">
      <c r="B103"/>
      <c r="C103"/>
    </row>
    <row r="104" spans="2:3" x14ac:dyDescent="0.3">
      <c r="B104"/>
      <c r="C104"/>
    </row>
    <row r="105" spans="2:3" x14ac:dyDescent="0.3">
      <c r="B105"/>
      <c r="C105"/>
    </row>
    <row r="106" spans="2:3" x14ac:dyDescent="0.3">
      <c r="B106"/>
      <c r="C106"/>
    </row>
    <row r="107" spans="2:3" x14ac:dyDescent="0.3">
      <c r="B107"/>
      <c r="C107"/>
    </row>
    <row r="108" spans="2:3" x14ac:dyDescent="0.3">
      <c r="B108"/>
      <c r="C108"/>
    </row>
    <row r="109" spans="2:3" x14ac:dyDescent="0.3">
      <c r="B109"/>
      <c r="C109"/>
    </row>
    <row r="110" spans="2:3" x14ac:dyDescent="0.3">
      <c r="B110"/>
      <c r="C110"/>
    </row>
    <row r="111" spans="2:3" x14ac:dyDescent="0.3">
      <c r="B111"/>
      <c r="C111"/>
    </row>
    <row r="112" spans="2:3" x14ac:dyDescent="0.3">
      <c r="B112"/>
      <c r="C112"/>
    </row>
    <row r="113" spans="2:3" x14ac:dyDescent="0.3">
      <c r="B113"/>
      <c r="C113"/>
    </row>
    <row r="114" spans="2:3" x14ac:dyDescent="0.3">
      <c r="B114"/>
      <c r="C114"/>
    </row>
    <row r="115" spans="2:3" x14ac:dyDescent="0.3">
      <c r="B115"/>
      <c r="C115"/>
    </row>
    <row r="116" spans="2:3" x14ac:dyDescent="0.3">
      <c r="B116"/>
      <c r="C116"/>
    </row>
    <row r="117" spans="2:3" x14ac:dyDescent="0.3">
      <c r="B117"/>
      <c r="C117"/>
    </row>
    <row r="118" spans="2:3" x14ac:dyDescent="0.3">
      <c r="B118"/>
      <c r="C118"/>
    </row>
    <row r="119" spans="2:3" x14ac:dyDescent="0.3">
      <c r="B119"/>
      <c r="C119"/>
    </row>
    <row r="120" spans="2:3" x14ac:dyDescent="0.3">
      <c r="B120"/>
      <c r="C120"/>
    </row>
    <row r="121" spans="2:3" x14ac:dyDescent="0.3">
      <c r="B121"/>
      <c r="C121"/>
    </row>
    <row r="122" spans="2:3" x14ac:dyDescent="0.3">
      <c r="B122"/>
      <c r="C122"/>
    </row>
    <row r="123" spans="2:3" x14ac:dyDescent="0.3">
      <c r="B123"/>
      <c r="C123"/>
    </row>
    <row r="124" spans="2:3" x14ac:dyDescent="0.3">
      <c r="B124"/>
      <c r="C124"/>
    </row>
    <row r="125" spans="2:3" x14ac:dyDescent="0.3">
      <c r="B125"/>
      <c r="C125"/>
    </row>
    <row r="126" spans="2:3" x14ac:dyDescent="0.3">
      <c r="B126"/>
      <c r="C126"/>
    </row>
    <row r="127" spans="2:3" x14ac:dyDescent="0.3">
      <c r="B127"/>
      <c r="C127"/>
    </row>
    <row r="128" spans="2:3" x14ac:dyDescent="0.3">
      <c r="B128"/>
      <c r="C128"/>
    </row>
    <row r="129" spans="2:3" x14ac:dyDescent="0.3">
      <c r="B129"/>
      <c r="C129"/>
    </row>
    <row r="130" spans="2:3" x14ac:dyDescent="0.3">
      <c r="B130"/>
      <c r="C130"/>
    </row>
    <row r="131" spans="2:3" x14ac:dyDescent="0.3">
      <c r="B131"/>
      <c r="C131"/>
    </row>
    <row r="132" spans="2:3" x14ac:dyDescent="0.3">
      <c r="B132"/>
      <c r="C132"/>
    </row>
    <row r="133" spans="2:3" x14ac:dyDescent="0.3">
      <c r="B133"/>
      <c r="C133"/>
    </row>
    <row r="134" spans="2:3" x14ac:dyDescent="0.3">
      <c r="B134"/>
      <c r="C134"/>
    </row>
    <row r="135" spans="2:3" x14ac:dyDescent="0.3">
      <c r="B135"/>
      <c r="C135"/>
    </row>
    <row r="136" spans="2:3" x14ac:dyDescent="0.3">
      <c r="B136"/>
      <c r="C136"/>
    </row>
    <row r="137" spans="2:3" x14ac:dyDescent="0.3">
      <c r="B137"/>
      <c r="C137"/>
    </row>
    <row r="138" spans="2:3" x14ac:dyDescent="0.3">
      <c r="B138"/>
      <c r="C138"/>
    </row>
    <row r="139" spans="2:3" x14ac:dyDescent="0.3">
      <c r="B139"/>
      <c r="C139"/>
    </row>
    <row r="140" spans="2:3" x14ac:dyDescent="0.3">
      <c r="B140"/>
      <c r="C140"/>
    </row>
    <row r="141" spans="2:3" x14ac:dyDescent="0.3">
      <c r="B141"/>
      <c r="C141"/>
    </row>
    <row r="142" spans="2:3" x14ac:dyDescent="0.3">
      <c r="B142"/>
      <c r="C142"/>
    </row>
    <row r="143" spans="2:3" x14ac:dyDescent="0.3">
      <c r="B143"/>
      <c r="C143"/>
    </row>
    <row r="144" spans="2:3" x14ac:dyDescent="0.3">
      <c r="B144"/>
      <c r="C144"/>
    </row>
    <row r="145" spans="2:3" x14ac:dyDescent="0.3">
      <c r="B145"/>
      <c r="C145"/>
    </row>
    <row r="146" spans="2:3" x14ac:dyDescent="0.3">
      <c r="B146"/>
      <c r="C146"/>
    </row>
    <row r="147" spans="2:3" x14ac:dyDescent="0.3">
      <c r="B147"/>
      <c r="C147"/>
    </row>
    <row r="148" spans="2:3" x14ac:dyDescent="0.3">
      <c r="B148"/>
      <c r="C148"/>
    </row>
    <row r="149" spans="2:3" x14ac:dyDescent="0.3">
      <c r="B149"/>
      <c r="C149"/>
    </row>
    <row r="150" spans="2:3" x14ac:dyDescent="0.3">
      <c r="B150"/>
      <c r="C150"/>
    </row>
    <row r="151" spans="2:3" x14ac:dyDescent="0.3">
      <c r="B151"/>
      <c r="C151"/>
    </row>
    <row r="152" spans="2:3" x14ac:dyDescent="0.3">
      <c r="B152"/>
      <c r="C152"/>
    </row>
    <row r="153" spans="2:3" x14ac:dyDescent="0.3">
      <c r="B153"/>
      <c r="C153"/>
    </row>
    <row r="154" spans="2:3" x14ac:dyDescent="0.3">
      <c r="B154"/>
      <c r="C154"/>
    </row>
    <row r="155" spans="2:3" x14ac:dyDescent="0.3">
      <c r="B155"/>
      <c r="C155"/>
    </row>
    <row r="156" spans="2:3" x14ac:dyDescent="0.3">
      <c r="B156"/>
      <c r="C156"/>
    </row>
    <row r="157" spans="2:3" x14ac:dyDescent="0.3">
      <c r="B157"/>
      <c r="C157"/>
    </row>
    <row r="158" spans="2:3" x14ac:dyDescent="0.3">
      <c r="B158"/>
      <c r="C158"/>
    </row>
    <row r="159" spans="2:3" x14ac:dyDescent="0.3">
      <c r="B159"/>
      <c r="C159"/>
    </row>
    <row r="160" spans="2:3" x14ac:dyDescent="0.3">
      <c r="B160"/>
      <c r="C160"/>
    </row>
    <row r="161" spans="2:3" x14ac:dyDescent="0.3">
      <c r="B161"/>
      <c r="C161"/>
    </row>
    <row r="162" spans="2:3" x14ac:dyDescent="0.3">
      <c r="B162"/>
      <c r="C162"/>
    </row>
    <row r="163" spans="2:3" x14ac:dyDescent="0.3">
      <c r="B163"/>
      <c r="C163"/>
    </row>
    <row r="164" spans="2:3" x14ac:dyDescent="0.3">
      <c r="B164"/>
      <c r="C164"/>
    </row>
    <row r="165" spans="2:3" x14ac:dyDescent="0.3">
      <c r="B165"/>
      <c r="C165"/>
    </row>
    <row r="166" spans="2:3" x14ac:dyDescent="0.3">
      <c r="B166"/>
      <c r="C166"/>
    </row>
    <row r="167" spans="2:3" x14ac:dyDescent="0.3">
      <c r="B167"/>
      <c r="C167"/>
    </row>
    <row r="168" spans="2:3" x14ac:dyDescent="0.3">
      <c r="B168"/>
      <c r="C168"/>
    </row>
    <row r="169" spans="2:3" x14ac:dyDescent="0.3">
      <c r="B169"/>
      <c r="C169"/>
    </row>
    <row r="170" spans="2:3" x14ac:dyDescent="0.3">
      <c r="B170"/>
      <c r="C170"/>
    </row>
    <row r="171" spans="2:3" x14ac:dyDescent="0.3">
      <c r="B171"/>
      <c r="C171"/>
    </row>
    <row r="172" spans="2:3" x14ac:dyDescent="0.3">
      <c r="B172"/>
      <c r="C172"/>
    </row>
    <row r="173" spans="2:3" x14ac:dyDescent="0.3">
      <c r="B173"/>
      <c r="C173"/>
    </row>
    <row r="174" spans="2:3" x14ac:dyDescent="0.3">
      <c r="B174"/>
      <c r="C174"/>
    </row>
    <row r="175" spans="2:3" x14ac:dyDescent="0.3">
      <c r="B175"/>
      <c r="C175"/>
    </row>
    <row r="176" spans="2:3" x14ac:dyDescent="0.3">
      <c r="B176"/>
      <c r="C176"/>
    </row>
    <row r="177" spans="2:3" x14ac:dyDescent="0.3">
      <c r="B177"/>
      <c r="C177"/>
    </row>
    <row r="178" spans="2:3" x14ac:dyDescent="0.3">
      <c r="B178"/>
      <c r="C178"/>
    </row>
    <row r="179" spans="2:3" x14ac:dyDescent="0.3">
      <c r="B179"/>
      <c r="C179"/>
    </row>
    <row r="180" spans="2:3" x14ac:dyDescent="0.3">
      <c r="B180"/>
      <c r="C180"/>
    </row>
    <row r="181" spans="2:3" x14ac:dyDescent="0.3">
      <c r="B181"/>
      <c r="C181"/>
    </row>
    <row r="182" spans="2:3" x14ac:dyDescent="0.3">
      <c r="B182"/>
      <c r="C182"/>
    </row>
    <row r="183" spans="2:3" x14ac:dyDescent="0.3">
      <c r="B183"/>
      <c r="C183"/>
    </row>
    <row r="184" spans="2:3" x14ac:dyDescent="0.3">
      <c r="B184"/>
      <c r="C184"/>
    </row>
    <row r="185" spans="2:3" x14ac:dyDescent="0.3">
      <c r="B185"/>
      <c r="C185"/>
    </row>
    <row r="186" spans="2:3" x14ac:dyDescent="0.3">
      <c r="B186"/>
      <c r="C186"/>
    </row>
    <row r="187" spans="2:3" x14ac:dyDescent="0.3">
      <c r="B187"/>
      <c r="C187"/>
    </row>
    <row r="188" spans="2:3" x14ac:dyDescent="0.3">
      <c r="B188"/>
      <c r="C188"/>
    </row>
    <row r="189" spans="2:3" x14ac:dyDescent="0.3">
      <c r="B189"/>
      <c r="C189"/>
    </row>
    <row r="190" spans="2:3" x14ac:dyDescent="0.3">
      <c r="B190"/>
      <c r="C190"/>
    </row>
    <row r="191" spans="2:3" x14ac:dyDescent="0.3">
      <c r="B191"/>
      <c r="C191"/>
    </row>
    <row r="192" spans="2:3" x14ac:dyDescent="0.3">
      <c r="B192"/>
      <c r="C192"/>
    </row>
    <row r="193" spans="2:3" x14ac:dyDescent="0.3">
      <c r="B193"/>
      <c r="C193"/>
    </row>
    <row r="194" spans="2:3" x14ac:dyDescent="0.3">
      <c r="B194"/>
      <c r="C194"/>
    </row>
    <row r="195" spans="2:3" x14ac:dyDescent="0.3">
      <c r="B195"/>
      <c r="C195"/>
    </row>
    <row r="196" spans="2:3" x14ac:dyDescent="0.3">
      <c r="B196"/>
      <c r="C196"/>
    </row>
    <row r="197" spans="2:3" x14ac:dyDescent="0.3">
      <c r="B197"/>
      <c r="C197"/>
    </row>
    <row r="198" spans="2:3" x14ac:dyDescent="0.3">
      <c r="B198"/>
      <c r="C198"/>
    </row>
    <row r="199" spans="2:3" x14ac:dyDescent="0.3">
      <c r="B199"/>
      <c r="C199"/>
    </row>
    <row r="200" spans="2:3" x14ac:dyDescent="0.3">
      <c r="B200"/>
      <c r="C200"/>
    </row>
    <row r="201" spans="2:3" x14ac:dyDescent="0.3">
      <c r="B201"/>
      <c r="C201"/>
    </row>
    <row r="202" spans="2:3" x14ac:dyDescent="0.3">
      <c r="B202"/>
      <c r="C202"/>
    </row>
    <row r="203" spans="2:3" x14ac:dyDescent="0.3">
      <c r="B203"/>
      <c r="C203"/>
    </row>
    <row r="204" spans="2:3" x14ac:dyDescent="0.3">
      <c r="B204"/>
      <c r="C204"/>
    </row>
    <row r="205" spans="2:3" x14ac:dyDescent="0.3">
      <c r="B205"/>
      <c r="C205"/>
    </row>
    <row r="206" spans="2:3" x14ac:dyDescent="0.3">
      <c r="B206"/>
      <c r="C206"/>
    </row>
    <row r="207" spans="2:3" x14ac:dyDescent="0.3">
      <c r="B207"/>
      <c r="C207"/>
    </row>
    <row r="208" spans="2:3" x14ac:dyDescent="0.3">
      <c r="B208"/>
      <c r="C208"/>
    </row>
    <row r="209" spans="2:3" x14ac:dyDescent="0.3">
      <c r="B209"/>
      <c r="C209"/>
    </row>
    <row r="210" spans="2:3" x14ac:dyDescent="0.3">
      <c r="B210"/>
      <c r="C210"/>
    </row>
    <row r="211" spans="2:3" x14ac:dyDescent="0.3">
      <c r="B211"/>
      <c r="C211"/>
    </row>
    <row r="212" spans="2:3" x14ac:dyDescent="0.3">
      <c r="B212"/>
      <c r="C212"/>
    </row>
    <row r="213" spans="2:3" x14ac:dyDescent="0.3">
      <c r="B213"/>
      <c r="C213"/>
    </row>
    <row r="214" spans="2:3" x14ac:dyDescent="0.3">
      <c r="B214"/>
      <c r="C214"/>
    </row>
    <row r="215" spans="2:3" x14ac:dyDescent="0.3">
      <c r="B215"/>
      <c r="C215"/>
    </row>
    <row r="216" spans="2:3" x14ac:dyDescent="0.3">
      <c r="B216"/>
      <c r="C216"/>
    </row>
    <row r="217" spans="2:3" x14ac:dyDescent="0.3">
      <c r="B217"/>
      <c r="C217"/>
    </row>
    <row r="218" spans="2:3" x14ac:dyDescent="0.3">
      <c r="B218"/>
      <c r="C218"/>
    </row>
    <row r="219" spans="2:3" x14ac:dyDescent="0.3">
      <c r="B219"/>
      <c r="C219"/>
    </row>
    <row r="220" spans="2:3" x14ac:dyDescent="0.3">
      <c r="B220"/>
      <c r="C220"/>
    </row>
    <row r="221" spans="2:3" x14ac:dyDescent="0.3">
      <c r="B221"/>
      <c r="C221"/>
    </row>
    <row r="222" spans="2:3" x14ac:dyDescent="0.3">
      <c r="B222"/>
      <c r="C222"/>
    </row>
    <row r="223" spans="2:3" x14ac:dyDescent="0.3">
      <c r="B223"/>
      <c r="C223"/>
    </row>
    <row r="224" spans="2:3" x14ac:dyDescent="0.3">
      <c r="B224"/>
      <c r="C224"/>
    </row>
    <row r="225" spans="2:3" x14ac:dyDescent="0.3">
      <c r="B225"/>
      <c r="C225"/>
    </row>
    <row r="226" spans="2:3" x14ac:dyDescent="0.3">
      <c r="B226"/>
      <c r="C226"/>
    </row>
    <row r="227" spans="2:3" x14ac:dyDescent="0.3">
      <c r="B227"/>
      <c r="C227"/>
    </row>
    <row r="228" spans="2:3" x14ac:dyDescent="0.3">
      <c r="B228"/>
      <c r="C228"/>
    </row>
    <row r="229" spans="2:3" x14ac:dyDescent="0.3">
      <c r="B229"/>
      <c r="C229"/>
    </row>
    <row r="230" spans="2:3" x14ac:dyDescent="0.3">
      <c r="B230"/>
      <c r="C230"/>
    </row>
    <row r="231" spans="2:3" x14ac:dyDescent="0.3">
      <c r="B231"/>
      <c r="C231"/>
    </row>
    <row r="232" spans="2:3" x14ac:dyDescent="0.3">
      <c r="B232"/>
      <c r="C232"/>
    </row>
    <row r="233" spans="2:3" x14ac:dyDescent="0.3">
      <c r="B233"/>
      <c r="C233"/>
    </row>
    <row r="234" spans="2:3" x14ac:dyDescent="0.3">
      <c r="B234"/>
      <c r="C234"/>
    </row>
    <row r="235" spans="2:3" x14ac:dyDescent="0.3">
      <c r="B235"/>
      <c r="C235"/>
    </row>
    <row r="236" spans="2:3" x14ac:dyDescent="0.3">
      <c r="B236"/>
      <c r="C236"/>
    </row>
    <row r="237" spans="2:3" x14ac:dyDescent="0.3">
      <c r="B237"/>
      <c r="C237"/>
    </row>
    <row r="238" spans="2:3" x14ac:dyDescent="0.3">
      <c r="B238"/>
      <c r="C238"/>
    </row>
    <row r="239" spans="2:3" x14ac:dyDescent="0.3">
      <c r="B239"/>
      <c r="C239"/>
    </row>
    <row r="240" spans="2:3" x14ac:dyDescent="0.3">
      <c r="B240"/>
      <c r="C240"/>
    </row>
    <row r="241" spans="2:3" x14ac:dyDescent="0.3">
      <c r="B241"/>
      <c r="C241"/>
    </row>
    <row r="242" spans="2:3" x14ac:dyDescent="0.3">
      <c r="B242"/>
      <c r="C242"/>
    </row>
    <row r="243" spans="2:3" x14ac:dyDescent="0.3">
      <c r="B243"/>
      <c r="C243"/>
    </row>
    <row r="244" spans="2:3" x14ac:dyDescent="0.3">
      <c r="B244"/>
      <c r="C244"/>
    </row>
    <row r="245" spans="2:3" x14ac:dyDescent="0.3">
      <c r="B245"/>
      <c r="C245"/>
    </row>
    <row r="246" spans="2:3" x14ac:dyDescent="0.3">
      <c r="B246"/>
      <c r="C246"/>
    </row>
    <row r="247" spans="2:3" x14ac:dyDescent="0.3">
      <c r="B247"/>
      <c r="C247"/>
    </row>
    <row r="248" spans="2:3" x14ac:dyDescent="0.3">
      <c r="B248"/>
      <c r="C248"/>
    </row>
    <row r="249" spans="2:3" x14ac:dyDescent="0.3">
      <c r="B249"/>
      <c r="C249"/>
    </row>
    <row r="250" spans="2:3" x14ac:dyDescent="0.3">
      <c r="B250"/>
      <c r="C250"/>
    </row>
    <row r="251" spans="2:3" x14ac:dyDescent="0.3">
      <c r="B251"/>
      <c r="C251"/>
    </row>
    <row r="252" spans="2:3" x14ac:dyDescent="0.3">
      <c r="B252"/>
      <c r="C252"/>
    </row>
    <row r="253" spans="2:3" x14ac:dyDescent="0.3">
      <c r="B253"/>
      <c r="C253"/>
    </row>
    <row r="254" spans="2:3" x14ac:dyDescent="0.3">
      <c r="B254"/>
      <c r="C254"/>
    </row>
    <row r="255" spans="2:3" x14ac:dyDescent="0.3">
      <c r="B255"/>
      <c r="C255"/>
    </row>
    <row r="256" spans="2:3" x14ac:dyDescent="0.3">
      <c r="B256"/>
      <c r="C256"/>
    </row>
    <row r="257" spans="2:3" x14ac:dyDescent="0.3">
      <c r="B257"/>
      <c r="C257"/>
    </row>
    <row r="258" spans="2:3" x14ac:dyDescent="0.3">
      <c r="B258"/>
      <c r="C258"/>
    </row>
    <row r="259" spans="2:3" x14ac:dyDescent="0.3">
      <c r="B259"/>
      <c r="C259"/>
    </row>
    <row r="260" spans="2:3" x14ac:dyDescent="0.3">
      <c r="B260"/>
      <c r="C260"/>
    </row>
    <row r="261" spans="2:3" x14ac:dyDescent="0.3">
      <c r="B261"/>
      <c r="C261"/>
    </row>
    <row r="262" spans="2:3" x14ac:dyDescent="0.3">
      <c r="B262"/>
      <c r="C262"/>
    </row>
    <row r="263" spans="2:3" x14ac:dyDescent="0.3">
      <c r="B263"/>
      <c r="C263"/>
    </row>
    <row r="264" spans="2:3" x14ac:dyDescent="0.3">
      <c r="B264"/>
      <c r="C264"/>
    </row>
    <row r="265" spans="2:3" x14ac:dyDescent="0.3">
      <c r="B265"/>
      <c r="C265"/>
    </row>
    <row r="266" spans="2:3" x14ac:dyDescent="0.3">
      <c r="B266"/>
      <c r="C266"/>
    </row>
    <row r="267" spans="2:3" x14ac:dyDescent="0.3">
      <c r="B267"/>
      <c r="C267"/>
    </row>
    <row r="268" spans="2:3" x14ac:dyDescent="0.3">
      <c r="B268"/>
      <c r="C268"/>
    </row>
    <row r="269" spans="2:3" x14ac:dyDescent="0.3">
      <c r="B269"/>
      <c r="C269"/>
    </row>
    <row r="270" spans="2:3" x14ac:dyDescent="0.3">
      <c r="B270"/>
      <c r="C270"/>
    </row>
    <row r="271" spans="2:3" x14ac:dyDescent="0.3">
      <c r="B271"/>
      <c r="C271"/>
    </row>
    <row r="272" spans="2:3" x14ac:dyDescent="0.3">
      <c r="B272"/>
      <c r="C272"/>
    </row>
    <row r="273" spans="2:3" x14ac:dyDescent="0.3">
      <c r="B273"/>
      <c r="C273"/>
    </row>
    <row r="274" spans="2:3" x14ac:dyDescent="0.3">
      <c r="B274"/>
      <c r="C274"/>
    </row>
    <row r="275" spans="2:3" x14ac:dyDescent="0.3">
      <c r="B275"/>
      <c r="C275"/>
    </row>
    <row r="276" spans="2:3" x14ac:dyDescent="0.3">
      <c r="B276"/>
      <c r="C276"/>
    </row>
    <row r="277" spans="2:3" x14ac:dyDescent="0.3">
      <c r="B277"/>
      <c r="C277"/>
    </row>
    <row r="278" spans="2:3" x14ac:dyDescent="0.3">
      <c r="B278"/>
      <c r="C278"/>
    </row>
    <row r="279" spans="2:3" x14ac:dyDescent="0.3">
      <c r="B279"/>
      <c r="C279"/>
    </row>
    <row r="280" spans="2:3" x14ac:dyDescent="0.3">
      <c r="B280"/>
      <c r="C280"/>
    </row>
    <row r="281" spans="2:3" x14ac:dyDescent="0.3">
      <c r="B281"/>
      <c r="C281"/>
    </row>
    <row r="282" spans="2:3" x14ac:dyDescent="0.3">
      <c r="B282"/>
      <c r="C282"/>
    </row>
    <row r="283" spans="2:3" x14ac:dyDescent="0.3">
      <c r="B283"/>
      <c r="C283"/>
    </row>
    <row r="284" spans="2:3" x14ac:dyDescent="0.3">
      <c r="B284"/>
      <c r="C284"/>
    </row>
    <row r="285" spans="2:3" x14ac:dyDescent="0.3">
      <c r="B285"/>
      <c r="C285"/>
    </row>
    <row r="286" spans="2:3" x14ac:dyDescent="0.3">
      <c r="B286"/>
      <c r="C286"/>
    </row>
    <row r="287" spans="2:3" x14ac:dyDescent="0.3">
      <c r="B287"/>
      <c r="C287"/>
    </row>
    <row r="288" spans="2:3" x14ac:dyDescent="0.3">
      <c r="B288"/>
      <c r="C288"/>
    </row>
    <row r="289" spans="2:3" x14ac:dyDescent="0.3">
      <c r="B289"/>
      <c r="C289"/>
    </row>
    <row r="290" spans="2:3" x14ac:dyDescent="0.3">
      <c r="B290"/>
      <c r="C290"/>
    </row>
    <row r="291" spans="2:3" x14ac:dyDescent="0.3">
      <c r="B291"/>
      <c r="C291"/>
    </row>
    <row r="292" spans="2:3" x14ac:dyDescent="0.3">
      <c r="B292"/>
      <c r="C292"/>
    </row>
    <row r="293" spans="2:3" x14ac:dyDescent="0.3">
      <c r="B293"/>
      <c r="C293"/>
    </row>
    <row r="294" spans="2:3" x14ac:dyDescent="0.3">
      <c r="B294"/>
      <c r="C294"/>
    </row>
    <row r="295" spans="2:3" x14ac:dyDescent="0.3">
      <c r="B295"/>
      <c r="C295"/>
    </row>
    <row r="296" spans="2:3" x14ac:dyDescent="0.3">
      <c r="B296"/>
      <c r="C296"/>
    </row>
    <row r="297" spans="2:3" x14ac:dyDescent="0.3">
      <c r="B297"/>
      <c r="C297"/>
    </row>
    <row r="298" spans="2:3" x14ac:dyDescent="0.3">
      <c r="B298"/>
      <c r="C298"/>
    </row>
    <row r="299" spans="2:3" x14ac:dyDescent="0.3">
      <c r="B299"/>
      <c r="C299"/>
    </row>
    <row r="300" spans="2:3" x14ac:dyDescent="0.3">
      <c r="B300"/>
      <c r="C300"/>
    </row>
    <row r="301" spans="2:3" x14ac:dyDescent="0.3">
      <c r="B301"/>
      <c r="C301"/>
    </row>
    <row r="302" spans="2:3" x14ac:dyDescent="0.3">
      <c r="B302"/>
      <c r="C302"/>
    </row>
    <row r="303" spans="2:3" x14ac:dyDescent="0.3">
      <c r="B303"/>
      <c r="C303"/>
    </row>
    <row r="304" spans="2:3" x14ac:dyDescent="0.3">
      <c r="B304"/>
      <c r="C304"/>
    </row>
    <row r="305" spans="2:3" x14ac:dyDescent="0.3">
      <c r="B305"/>
      <c r="C305"/>
    </row>
    <row r="306" spans="2:3" x14ac:dyDescent="0.3">
      <c r="B306"/>
      <c r="C306"/>
    </row>
    <row r="307" spans="2:3" x14ac:dyDescent="0.3">
      <c r="B307"/>
      <c r="C307"/>
    </row>
    <row r="308" spans="2:3" x14ac:dyDescent="0.3">
      <c r="B308"/>
      <c r="C308"/>
    </row>
    <row r="309" spans="2:3" x14ac:dyDescent="0.3">
      <c r="B309"/>
      <c r="C309"/>
    </row>
    <row r="310" spans="2:3" x14ac:dyDescent="0.3">
      <c r="B310"/>
      <c r="C310"/>
    </row>
    <row r="311" spans="2:3" x14ac:dyDescent="0.3">
      <c r="B311"/>
      <c r="C311"/>
    </row>
    <row r="312" spans="2:3" x14ac:dyDescent="0.3">
      <c r="B312"/>
      <c r="C312"/>
    </row>
    <row r="313" spans="2:3" x14ac:dyDescent="0.3">
      <c r="B313"/>
      <c r="C313"/>
    </row>
    <row r="314" spans="2:3" x14ac:dyDescent="0.3">
      <c r="B314"/>
      <c r="C314"/>
    </row>
    <row r="315" spans="2:3" x14ac:dyDescent="0.3">
      <c r="B315"/>
      <c r="C315"/>
    </row>
    <row r="316" spans="2:3" x14ac:dyDescent="0.3">
      <c r="B316"/>
      <c r="C316"/>
    </row>
    <row r="317" spans="2:3" x14ac:dyDescent="0.3">
      <c r="B317"/>
      <c r="C317"/>
    </row>
    <row r="318" spans="2:3" x14ac:dyDescent="0.3">
      <c r="B318"/>
      <c r="C318"/>
    </row>
    <row r="319" spans="2:3" x14ac:dyDescent="0.3">
      <c r="B319"/>
      <c r="C319"/>
    </row>
    <row r="320" spans="2:3" x14ac:dyDescent="0.3">
      <c r="B320"/>
      <c r="C320"/>
    </row>
    <row r="321" spans="2:3" x14ac:dyDescent="0.3">
      <c r="B321"/>
      <c r="C321"/>
    </row>
    <row r="322" spans="2:3" x14ac:dyDescent="0.3">
      <c r="B322"/>
      <c r="C322"/>
    </row>
    <row r="323" spans="2:3" x14ac:dyDescent="0.3">
      <c r="B323"/>
      <c r="C323"/>
    </row>
    <row r="324" spans="2:3" x14ac:dyDescent="0.3">
      <c r="B324"/>
      <c r="C324"/>
    </row>
    <row r="325" spans="2:3" x14ac:dyDescent="0.3">
      <c r="B325"/>
      <c r="C325"/>
    </row>
    <row r="326" spans="2:3" x14ac:dyDescent="0.3">
      <c r="B326"/>
      <c r="C326"/>
    </row>
    <row r="327" spans="2:3" x14ac:dyDescent="0.3">
      <c r="B327"/>
      <c r="C327"/>
    </row>
    <row r="328" spans="2:3" x14ac:dyDescent="0.3">
      <c r="B328"/>
      <c r="C328"/>
    </row>
    <row r="329" spans="2:3" x14ac:dyDescent="0.3">
      <c r="B329"/>
      <c r="C329"/>
    </row>
    <row r="330" spans="2:3" x14ac:dyDescent="0.3">
      <c r="B330"/>
      <c r="C330"/>
    </row>
    <row r="331" spans="2:3" x14ac:dyDescent="0.3">
      <c r="B331"/>
      <c r="C331"/>
    </row>
    <row r="332" spans="2:3" x14ac:dyDescent="0.3">
      <c r="B332"/>
      <c r="C332"/>
    </row>
    <row r="333" spans="2:3" x14ac:dyDescent="0.3">
      <c r="B333"/>
      <c r="C333"/>
    </row>
    <row r="334" spans="2:3" x14ac:dyDescent="0.3">
      <c r="B334"/>
      <c r="C334"/>
    </row>
    <row r="335" spans="2:3" x14ac:dyDescent="0.3">
      <c r="B335"/>
      <c r="C335"/>
    </row>
    <row r="336" spans="2:3" x14ac:dyDescent="0.3">
      <c r="B336"/>
      <c r="C336"/>
    </row>
    <row r="337" spans="2:3" x14ac:dyDescent="0.3">
      <c r="B337"/>
      <c r="C337"/>
    </row>
    <row r="338" spans="2:3" x14ac:dyDescent="0.3">
      <c r="B338"/>
      <c r="C338"/>
    </row>
    <row r="339" spans="2:3" x14ac:dyDescent="0.3">
      <c r="B339"/>
      <c r="C339"/>
    </row>
    <row r="340" spans="2:3" x14ac:dyDescent="0.3">
      <c r="B340"/>
      <c r="C340"/>
    </row>
    <row r="341" spans="2:3" x14ac:dyDescent="0.3">
      <c r="B341"/>
      <c r="C341"/>
    </row>
    <row r="342" spans="2:3" x14ac:dyDescent="0.3">
      <c r="B342"/>
      <c r="C342"/>
    </row>
    <row r="343" spans="2:3" x14ac:dyDescent="0.3">
      <c r="B343"/>
      <c r="C343"/>
    </row>
    <row r="344" spans="2:3" x14ac:dyDescent="0.3">
      <c r="B344"/>
      <c r="C344"/>
    </row>
    <row r="345" spans="2:3" x14ac:dyDescent="0.3">
      <c r="B345"/>
      <c r="C345"/>
    </row>
    <row r="346" spans="2:3" x14ac:dyDescent="0.3">
      <c r="B346"/>
      <c r="C346"/>
    </row>
    <row r="347" spans="2:3" x14ac:dyDescent="0.3">
      <c r="B347"/>
      <c r="C347"/>
    </row>
    <row r="348" spans="2:3" x14ac:dyDescent="0.3">
      <c r="B348"/>
      <c r="C348"/>
    </row>
    <row r="349" spans="2:3" x14ac:dyDescent="0.3">
      <c r="B349"/>
      <c r="C349"/>
    </row>
    <row r="350" spans="2:3" x14ac:dyDescent="0.3">
      <c r="B350"/>
      <c r="C350"/>
    </row>
    <row r="351" spans="2:3" x14ac:dyDescent="0.3">
      <c r="B351"/>
      <c r="C351"/>
    </row>
    <row r="352" spans="2:3" x14ac:dyDescent="0.3">
      <c r="B352"/>
      <c r="C352"/>
    </row>
    <row r="353" spans="2:3" x14ac:dyDescent="0.3">
      <c r="B353"/>
      <c r="C353"/>
    </row>
    <row r="354" spans="2:3" x14ac:dyDescent="0.3">
      <c r="B354"/>
      <c r="C354"/>
    </row>
    <row r="355" spans="2:3" x14ac:dyDescent="0.3">
      <c r="B355"/>
      <c r="C355"/>
    </row>
    <row r="356" spans="2:3" x14ac:dyDescent="0.3">
      <c r="B356"/>
      <c r="C356"/>
    </row>
    <row r="357" spans="2:3" x14ac:dyDescent="0.3">
      <c r="B357"/>
      <c r="C357"/>
    </row>
    <row r="358" spans="2:3" x14ac:dyDescent="0.3">
      <c r="B358"/>
      <c r="C358"/>
    </row>
    <row r="359" spans="2:3" x14ac:dyDescent="0.3">
      <c r="B359"/>
      <c r="C359"/>
    </row>
    <row r="360" spans="2:3" x14ac:dyDescent="0.3">
      <c r="B360"/>
      <c r="C360"/>
    </row>
    <row r="361" spans="2:3" x14ac:dyDescent="0.3">
      <c r="B361"/>
      <c r="C361"/>
    </row>
    <row r="362" spans="2:3" x14ac:dyDescent="0.3">
      <c r="B362"/>
      <c r="C362"/>
    </row>
    <row r="363" spans="2:3" x14ac:dyDescent="0.3">
      <c r="B363"/>
      <c r="C363"/>
    </row>
    <row r="364" spans="2:3" x14ac:dyDescent="0.3">
      <c r="B364"/>
      <c r="C364"/>
    </row>
    <row r="365" spans="2:3" x14ac:dyDescent="0.3">
      <c r="B365"/>
      <c r="C365"/>
    </row>
    <row r="366" spans="2:3" x14ac:dyDescent="0.3">
      <c r="B366"/>
      <c r="C366"/>
    </row>
    <row r="367" spans="2:3" x14ac:dyDescent="0.3">
      <c r="B367"/>
      <c r="C367"/>
    </row>
    <row r="368" spans="2:3" x14ac:dyDescent="0.3">
      <c r="B368"/>
      <c r="C368"/>
    </row>
    <row r="369" spans="2:3" x14ac:dyDescent="0.3">
      <c r="B369"/>
      <c r="C369"/>
    </row>
    <row r="370" spans="2:3" x14ac:dyDescent="0.3">
      <c r="B370"/>
      <c r="C370"/>
    </row>
    <row r="371" spans="2:3" x14ac:dyDescent="0.3">
      <c r="B371"/>
      <c r="C371"/>
    </row>
    <row r="372" spans="2:3" x14ac:dyDescent="0.3">
      <c r="B372"/>
      <c r="C372"/>
    </row>
    <row r="373" spans="2:3" x14ac:dyDescent="0.3">
      <c r="B373"/>
      <c r="C373"/>
    </row>
    <row r="374" spans="2:3" x14ac:dyDescent="0.3">
      <c r="B374"/>
      <c r="C374"/>
    </row>
    <row r="375" spans="2:3" x14ac:dyDescent="0.3">
      <c r="B375"/>
      <c r="C375"/>
    </row>
    <row r="376" spans="2:3" x14ac:dyDescent="0.3">
      <c r="B376"/>
      <c r="C376"/>
    </row>
    <row r="377" spans="2:3" x14ac:dyDescent="0.3">
      <c r="B377"/>
      <c r="C377"/>
    </row>
    <row r="378" spans="2:3" x14ac:dyDescent="0.3">
      <c r="B378"/>
      <c r="C378"/>
    </row>
    <row r="379" spans="2:3" x14ac:dyDescent="0.3">
      <c r="B379"/>
      <c r="C379"/>
    </row>
    <row r="380" spans="2:3" x14ac:dyDescent="0.3">
      <c r="B380"/>
      <c r="C380"/>
    </row>
    <row r="381" spans="2:3" x14ac:dyDescent="0.3">
      <c r="B381"/>
      <c r="C381"/>
    </row>
    <row r="382" spans="2:3" x14ac:dyDescent="0.3">
      <c r="B382"/>
      <c r="C382"/>
    </row>
    <row r="383" spans="2:3" x14ac:dyDescent="0.3">
      <c r="B383"/>
      <c r="C383"/>
    </row>
    <row r="384" spans="2:3" x14ac:dyDescent="0.3">
      <c r="B384"/>
      <c r="C384"/>
    </row>
    <row r="385" spans="2:3" x14ac:dyDescent="0.3">
      <c r="B385"/>
      <c r="C385"/>
    </row>
    <row r="386" spans="2:3" x14ac:dyDescent="0.3">
      <c r="B386"/>
      <c r="C386"/>
    </row>
    <row r="387" spans="2:3" x14ac:dyDescent="0.3">
      <c r="B387"/>
      <c r="C387"/>
    </row>
    <row r="388" spans="2:3" x14ac:dyDescent="0.3">
      <c r="B388"/>
      <c r="C388"/>
    </row>
    <row r="389" spans="2:3" x14ac:dyDescent="0.3">
      <c r="B389"/>
      <c r="C389"/>
    </row>
    <row r="390" spans="2:3" x14ac:dyDescent="0.3">
      <c r="B390"/>
      <c r="C390"/>
    </row>
    <row r="391" spans="2:3" x14ac:dyDescent="0.3">
      <c r="B391"/>
      <c r="C391"/>
    </row>
    <row r="392" spans="2:3" x14ac:dyDescent="0.3">
      <c r="B392"/>
      <c r="C392"/>
    </row>
    <row r="393" spans="2:3" x14ac:dyDescent="0.3">
      <c r="B393"/>
      <c r="C393"/>
    </row>
    <row r="394" spans="2:3" x14ac:dyDescent="0.3">
      <c r="B394"/>
      <c r="C394"/>
    </row>
    <row r="395" spans="2:3" x14ac:dyDescent="0.3">
      <c r="B395"/>
      <c r="C395"/>
    </row>
    <row r="396" spans="2:3" x14ac:dyDescent="0.3">
      <c r="B396"/>
      <c r="C396"/>
    </row>
    <row r="397" spans="2:3" x14ac:dyDescent="0.3">
      <c r="B397"/>
      <c r="C397"/>
    </row>
    <row r="398" spans="2:3" x14ac:dyDescent="0.3">
      <c r="B398"/>
      <c r="C398"/>
    </row>
    <row r="399" spans="2:3" x14ac:dyDescent="0.3">
      <c r="B399"/>
      <c r="C399"/>
    </row>
    <row r="400" spans="2:3" x14ac:dyDescent="0.3">
      <c r="B400"/>
      <c r="C400"/>
    </row>
    <row r="401" spans="2:3" x14ac:dyDescent="0.3">
      <c r="B401"/>
      <c r="C401"/>
    </row>
    <row r="402" spans="2:3" x14ac:dyDescent="0.3">
      <c r="B402"/>
      <c r="C402"/>
    </row>
    <row r="403" spans="2:3" x14ac:dyDescent="0.3">
      <c r="B403"/>
      <c r="C403"/>
    </row>
    <row r="404" spans="2:3" x14ac:dyDescent="0.3">
      <c r="B404"/>
      <c r="C404"/>
    </row>
    <row r="405" spans="2:3" x14ac:dyDescent="0.3">
      <c r="B405"/>
      <c r="C405"/>
    </row>
    <row r="406" spans="2:3" x14ac:dyDescent="0.3">
      <c r="B406"/>
      <c r="C406"/>
    </row>
    <row r="407" spans="2:3" x14ac:dyDescent="0.3">
      <c r="B407"/>
      <c r="C407"/>
    </row>
    <row r="408" spans="2:3" x14ac:dyDescent="0.3">
      <c r="B408"/>
      <c r="C408"/>
    </row>
    <row r="409" spans="2:3" x14ac:dyDescent="0.3">
      <c r="B409"/>
      <c r="C409"/>
    </row>
    <row r="410" spans="2:3" x14ac:dyDescent="0.3">
      <c r="B410"/>
      <c r="C410"/>
    </row>
    <row r="411" spans="2:3" x14ac:dyDescent="0.3">
      <c r="B411"/>
      <c r="C411"/>
    </row>
    <row r="412" spans="2:3" x14ac:dyDescent="0.3">
      <c r="B412"/>
      <c r="C412"/>
    </row>
    <row r="413" spans="2:3" x14ac:dyDescent="0.3">
      <c r="B413"/>
      <c r="C413"/>
    </row>
    <row r="414" spans="2:3" x14ac:dyDescent="0.3">
      <c r="B414"/>
      <c r="C414"/>
    </row>
    <row r="415" spans="2:3" x14ac:dyDescent="0.3">
      <c r="B415"/>
      <c r="C415"/>
    </row>
    <row r="416" spans="2:3" x14ac:dyDescent="0.3">
      <c r="B416"/>
      <c r="C416"/>
    </row>
    <row r="417" spans="2:3" x14ac:dyDescent="0.3">
      <c r="B417"/>
      <c r="C417"/>
    </row>
    <row r="418" spans="2:3" x14ac:dyDescent="0.3">
      <c r="B418"/>
      <c r="C418"/>
    </row>
    <row r="419" spans="2:3" x14ac:dyDescent="0.3">
      <c r="B419"/>
      <c r="C419"/>
    </row>
    <row r="420" spans="2:3" x14ac:dyDescent="0.3">
      <c r="B420"/>
      <c r="C420"/>
    </row>
    <row r="421" spans="2:3" x14ac:dyDescent="0.3">
      <c r="B421"/>
      <c r="C421"/>
    </row>
    <row r="422" spans="2:3" x14ac:dyDescent="0.3">
      <c r="B422"/>
      <c r="C422"/>
    </row>
    <row r="423" spans="2:3" x14ac:dyDescent="0.3">
      <c r="B423"/>
      <c r="C423"/>
    </row>
    <row r="424" spans="2:3" x14ac:dyDescent="0.3">
      <c r="B424"/>
      <c r="C424"/>
    </row>
    <row r="425" spans="2:3" x14ac:dyDescent="0.3">
      <c r="B425"/>
      <c r="C425"/>
    </row>
    <row r="426" spans="2:3" x14ac:dyDescent="0.3">
      <c r="B426"/>
      <c r="C426"/>
    </row>
    <row r="427" spans="2:3" x14ac:dyDescent="0.3">
      <c r="B427"/>
      <c r="C427"/>
    </row>
    <row r="428" spans="2:3" x14ac:dyDescent="0.3">
      <c r="B428"/>
      <c r="C428"/>
    </row>
    <row r="429" spans="2:3" x14ac:dyDescent="0.3">
      <c r="B429"/>
      <c r="C429"/>
    </row>
    <row r="430" spans="2:3" x14ac:dyDescent="0.3">
      <c r="B430"/>
      <c r="C430"/>
    </row>
    <row r="431" spans="2:3" x14ac:dyDescent="0.3">
      <c r="B431"/>
      <c r="C431"/>
    </row>
    <row r="432" spans="2:3" x14ac:dyDescent="0.3">
      <c r="B432"/>
      <c r="C432"/>
    </row>
    <row r="433" spans="2:3" x14ac:dyDescent="0.3">
      <c r="B433"/>
      <c r="C433"/>
    </row>
    <row r="434" spans="2:3" x14ac:dyDescent="0.3">
      <c r="B434"/>
      <c r="C434"/>
    </row>
    <row r="435" spans="2:3" x14ac:dyDescent="0.3">
      <c r="B435"/>
      <c r="C435"/>
    </row>
    <row r="436" spans="2:3" x14ac:dyDescent="0.3">
      <c r="B436"/>
      <c r="C436"/>
    </row>
    <row r="437" spans="2:3" x14ac:dyDescent="0.3">
      <c r="B437"/>
      <c r="C437"/>
    </row>
    <row r="438" spans="2:3" x14ac:dyDescent="0.3">
      <c r="B438"/>
      <c r="C438"/>
    </row>
    <row r="439" spans="2:3" x14ac:dyDescent="0.3">
      <c r="B439"/>
      <c r="C439"/>
    </row>
    <row r="440" spans="2:3" x14ac:dyDescent="0.3">
      <c r="B440"/>
      <c r="C440"/>
    </row>
    <row r="441" spans="2:3" x14ac:dyDescent="0.3">
      <c r="B441"/>
      <c r="C441"/>
    </row>
    <row r="442" spans="2:3" x14ac:dyDescent="0.3">
      <c r="B442"/>
      <c r="C442"/>
    </row>
    <row r="443" spans="2:3" x14ac:dyDescent="0.3">
      <c r="B443"/>
      <c r="C443"/>
    </row>
    <row r="444" spans="2:3" x14ac:dyDescent="0.3">
      <c r="B444"/>
      <c r="C444"/>
    </row>
    <row r="445" spans="2:3" x14ac:dyDescent="0.3">
      <c r="B445"/>
      <c r="C445"/>
    </row>
    <row r="446" spans="2:3" x14ac:dyDescent="0.3">
      <c r="B446"/>
      <c r="C446"/>
    </row>
    <row r="447" spans="2:3" x14ac:dyDescent="0.3">
      <c r="B447"/>
      <c r="C447"/>
    </row>
    <row r="448" spans="2:3" x14ac:dyDescent="0.3">
      <c r="B448"/>
      <c r="C448"/>
    </row>
    <row r="449" spans="2:3" x14ac:dyDescent="0.3">
      <c r="B449"/>
      <c r="C449"/>
    </row>
    <row r="450" spans="2:3" x14ac:dyDescent="0.3">
      <c r="B450"/>
      <c r="C450"/>
    </row>
    <row r="451" spans="2:3" x14ac:dyDescent="0.3">
      <c r="B451"/>
      <c r="C451"/>
    </row>
    <row r="452" spans="2:3" x14ac:dyDescent="0.3">
      <c r="B452"/>
      <c r="C452"/>
    </row>
    <row r="453" spans="2:3" x14ac:dyDescent="0.3">
      <c r="B453"/>
      <c r="C453"/>
    </row>
    <row r="454" spans="2:3" x14ac:dyDescent="0.3">
      <c r="B454"/>
      <c r="C454"/>
    </row>
    <row r="455" spans="2:3" x14ac:dyDescent="0.3">
      <c r="B455"/>
      <c r="C455"/>
    </row>
    <row r="456" spans="2:3" x14ac:dyDescent="0.3">
      <c r="B456"/>
      <c r="C456"/>
    </row>
    <row r="457" spans="2:3" x14ac:dyDescent="0.3">
      <c r="B457"/>
      <c r="C457"/>
    </row>
    <row r="458" spans="2:3" x14ac:dyDescent="0.3">
      <c r="B458"/>
      <c r="C458"/>
    </row>
    <row r="459" spans="2:3" x14ac:dyDescent="0.3">
      <c r="B459"/>
      <c r="C459"/>
    </row>
    <row r="460" spans="2:3" x14ac:dyDescent="0.3">
      <c r="B460"/>
      <c r="C460"/>
    </row>
    <row r="461" spans="2:3" x14ac:dyDescent="0.3">
      <c r="B461"/>
      <c r="C461"/>
    </row>
    <row r="462" spans="2:3" x14ac:dyDescent="0.3">
      <c r="B462"/>
      <c r="C462"/>
    </row>
    <row r="463" spans="2:3" x14ac:dyDescent="0.3">
      <c r="B463"/>
      <c r="C463"/>
    </row>
    <row r="464" spans="2:3" x14ac:dyDescent="0.3">
      <c r="B464"/>
      <c r="C464"/>
    </row>
    <row r="465" spans="2:3" x14ac:dyDescent="0.3">
      <c r="B465"/>
      <c r="C465"/>
    </row>
    <row r="466" spans="2:3" x14ac:dyDescent="0.3">
      <c r="B466"/>
      <c r="C466"/>
    </row>
    <row r="467" spans="2:3" x14ac:dyDescent="0.3">
      <c r="B467"/>
      <c r="C467"/>
    </row>
    <row r="468" spans="2:3" x14ac:dyDescent="0.3">
      <c r="B468"/>
      <c r="C468"/>
    </row>
    <row r="469" spans="2:3" x14ac:dyDescent="0.3">
      <c r="B469"/>
      <c r="C469"/>
    </row>
    <row r="470" spans="2:3" x14ac:dyDescent="0.3">
      <c r="B470"/>
      <c r="C470"/>
    </row>
    <row r="471" spans="2:3" x14ac:dyDescent="0.3">
      <c r="B471"/>
      <c r="C471"/>
    </row>
    <row r="472" spans="2:3" x14ac:dyDescent="0.3">
      <c r="B472"/>
      <c r="C472"/>
    </row>
    <row r="473" spans="2:3" x14ac:dyDescent="0.3">
      <c r="B473"/>
      <c r="C473"/>
    </row>
    <row r="474" spans="2:3" x14ac:dyDescent="0.3">
      <c r="B474"/>
      <c r="C474"/>
    </row>
    <row r="475" spans="2:3" x14ac:dyDescent="0.3">
      <c r="B475"/>
      <c r="C475"/>
    </row>
    <row r="476" spans="2:3" x14ac:dyDescent="0.3">
      <c r="B476"/>
      <c r="C476"/>
    </row>
    <row r="477" spans="2:3" x14ac:dyDescent="0.3">
      <c r="B477"/>
      <c r="C477"/>
    </row>
    <row r="478" spans="2:3" x14ac:dyDescent="0.3">
      <c r="B478"/>
      <c r="C478"/>
    </row>
    <row r="479" spans="2:3" x14ac:dyDescent="0.3">
      <c r="B479"/>
      <c r="C479"/>
    </row>
    <row r="480" spans="2:3" x14ac:dyDescent="0.3">
      <c r="B480"/>
      <c r="C480"/>
    </row>
    <row r="481" spans="2:3" x14ac:dyDescent="0.3">
      <c r="B481"/>
      <c r="C481"/>
    </row>
    <row r="482" spans="2:3" x14ac:dyDescent="0.3">
      <c r="B482"/>
      <c r="C482"/>
    </row>
    <row r="483" spans="2:3" x14ac:dyDescent="0.3">
      <c r="B483"/>
      <c r="C483"/>
    </row>
    <row r="484" spans="2:3" x14ac:dyDescent="0.3">
      <c r="B484"/>
      <c r="C484"/>
    </row>
    <row r="485" spans="2:3" x14ac:dyDescent="0.3">
      <c r="B485"/>
      <c r="C485"/>
    </row>
    <row r="486" spans="2:3" x14ac:dyDescent="0.3">
      <c r="B486"/>
      <c r="C486"/>
    </row>
    <row r="487" spans="2:3" x14ac:dyDescent="0.3">
      <c r="B487"/>
      <c r="C487"/>
    </row>
    <row r="488" spans="2:3" x14ac:dyDescent="0.3">
      <c r="B488"/>
      <c r="C488"/>
    </row>
    <row r="489" spans="2:3" x14ac:dyDescent="0.3">
      <c r="B489"/>
      <c r="C489"/>
    </row>
    <row r="490" spans="2:3" x14ac:dyDescent="0.3">
      <c r="B490"/>
      <c r="C490"/>
    </row>
    <row r="491" spans="2:3" x14ac:dyDescent="0.3">
      <c r="B491"/>
      <c r="C491"/>
    </row>
    <row r="492" spans="2:3" x14ac:dyDescent="0.3">
      <c r="B492"/>
      <c r="C492"/>
    </row>
    <row r="493" spans="2:3" x14ac:dyDescent="0.3">
      <c r="B493"/>
      <c r="C493"/>
    </row>
    <row r="494" spans="2:3" x14ac:dyDescent="0.3">
      <c r="B494"/>
      <c r="C494"/>
    </row>
    <row r="495" spans="2:3" x14ac:dyDescent="0.3">
      <c r="B495"/>
      <c r="C495"/>
    </row>
    <row r="496" spans="2:3" x14ac:dyDescent="0.3">
      <c r="B496"/>
      <c r="C496"/>
    </row>
    <row r="497" spans="2:3" x14ac:dyDescent="0.3">
      <c r="B497"/>
      <c r="C497"/>
    </row>
    <row r="498" spans="2:3" x14ac:dyDescent="0.3">
      <c r="B498"/>
      <c r="C498"/>
    </row>
    <row r="499" spans="2:3" x14ac:dyDescent="0.3">
      <c r="B499"/>
      <c r="C499"/>
    </row>
    <row r="500" spans="2:3" x14ac:dyDescent="0.3">
      <c r="B500"/>
      <c r="C500"/>
    </row>
    <row r="501" spans="2:3" x14ac:dyDescent="0.3">
      <c r="B501"/>
      <c r="C501"/>
    </row>
    <row r="502" spans="2:3" x14ac:dyDescent="0.3">
      <c r="B502"/>
      <c r="C502"/>
    </row>
    <row r="503" spans="2:3" x14ac:dyDescent="0.3">
      <c r="B503"/>
      <c r="C503"/>
    </row>
    <row r="504" spans="2:3" x14ac:dyDescent="0.3">
      <c r="B504"/>
      <c r="C504"/>
    </row>
    <row r="505" spans="2:3" x14ac:dyDescent="0.3">
      <c r="B505"/>
      <c r="C505"/>
    </row>
    <row r="506" spans="2:3" x14ac:dyDescent="0.3">
      <c r="B506"/>
      <c r="C506"/>
    </row>
    <row r="507" spans="2:3" x14ac:dyDescent="0.3">
      <c r="B507"/>
      <c r="C507"/>
    </row>
    <row r="508" spans="2:3" x14ac:dyDescent="0.3">
      <c r="B508"/>
      <c r="C508"/>
    </row>
    <row r="509" spans="2:3" x14ac:dyDescent="0.3">
      <c r="B509"/>
      <c r="C509"/>
    </row>
    <row r="510" spans="2:3" x14ac:dyDescent="0.3">
      <c r="B510"/>
      <c r="C510"/>
    </row>
    <row r="511" spans="2:3" x14ac:dyDescent="0.3">
      <c r="B511"/>
      <c r="C511"/>
    </row>
    <row r="512" spans="2:3" x14ac:dyDescent="0.3">
      <c r="B512"/>
      <c r="C512"/>
    </row>
    <row r="513" spans="2:3" x14ac:dyDescent="0.3">
      <c r="B513"/>
      <c r="C513"/>
    </row>
    <row r="514" spans="2:3" x14ac:dyDescent="0.3">
      <c r="B514"/>
      <c r="C514"/>
    </row>
    <row r="515" spans="2:3" x14ac:dyDescent="0.3">
      <c r="B515"/>
      <c r="C515"/>
    </row>
    <row r="516" spans="2:3" x14ac:dyDescent="0.3">
      <c r="B516"/>
      <c r="C516"/>
    </row>
    <row r="517" spans="2:3" x14ac:dyDescent="0.3">
      <c r="B517"/>
      <c r="C517"/>
    </row>
    <row r="518" spans="2:3" x14ac:dyDescent="0.3">
      <c r="B518"/>
      <c r="C518"/>
    </row>
    <row r="519" spans="2:3" x14ac:dyDescent="0.3">
      <c r="B519"/>
      <c r="C519"/>
    </row>
    <row r="520" spans="2:3" x14ac:dyDescent="0.3">
      <c r="B520"/>
      <c r="C520"/>
    </row>
    <row r="521" spans="2:3" x14ac:dyDescent="0.3">
      <c r="B521"/>
      <c r="C521"/>
    </row>
    <row r="522" spans="2:3" x14ac:dyDescent="0.3">
      <c r="B522"/>
      <c r="C522"/>
    </row>
    <row r="523" spans="2:3" x14ac:dyDescent="0.3">
      <c r="B523"/>
      <c r="C523"/>
    </row>
    <row r="524" spans="2:3" x14ac:dyDescent="0.3">
      <c r="B524"/>
      <c r="C524"/>
    </row>
    <row r="525" spans="2:3" x14ac:dyDescent="0.3">
      <c r="B525"/>
      <c r="C525"/>
    </row>
    <row r="526" spans="2:3" x14ac:dyDescent="0.3">
      <c r="B526"/>
      <c r="C526"/>
    </row>
    <row r="527" spans="2:3" x14ac:dyDescent="0.3">
      <c r="B527"/>
      <c r="C527"/>
    </row>
    <row r="528" spans="2:3" x14ac:dyDescent="0.3">
      <c r="B528"/>
      <c r="C528"/>
    </row>
    <row r="529" spans="2:3" x14ac:dyDescent="0.3">
      <c r="B529"/>
      <c r="C529"/>
    </row>
    <row r="530" spans="2:3" x14ac:dyDescent="0.3">
      <c r="B530"/>
      <c r="C530"/>
    </row>
    <row r="531" spans="2:3" x14ac:dyDescent="0.3">
      <c r="B531"/>
      <c r="C531"/>
    </row>
    <row r="532" spans="2:3" x14ac:dyDescent="0.3">
      <c r="B532"/>
      <c r="C532"/>
    </row>
    <row r="533" spans="2:3" x14ac:dyDescent="0.3">
      <c r="B533"/>
      <c r="C533"/>
    </row>
    <row r="534" spans="2:3" x14ac:dyDescent="0.3">
      <c r="B534"/>
      <c r="C534"/>
    </row>
    <row r="535" spans="2:3" x14ac:dyDescent="0.3">
      <c r="B535"/>
      <c r="C535"/>
    </row>
    <row r="536" spans="2:3" x14ac:dyDescent="0.3">
      <c r="B536"/>
      <c r="C536"/>
    </row>
    <row r="537" spans="2:3" x14ac:dyDescent="0.3">
      <c r="B537"/>
      <c r="C537"/>
    </row>
    <row r="538" spans="2:3" x14ac:dyDescent="0.3">
      <c r="B538"/>
      <c r="C538"/>
    </row>
    <row r="539" spans="2:3" x14ac:dyDescent="0.3">
      <c r="B539"/>
      <c r="C539"/>
    </row>
    <row r="540" spans="2:3" x14ac:dyDescent="0.3">
      <c r="B540"/>
      <c r="C540"/>
    </row>
    <row r="541" spans="2:3" x14ac:dyDescent="0.3">
      <c r="B541"/>
      <c r="C541"/>
    </row>
    <row r="542" spans="2:3" x14ac:dyDescent="0.3">
      <c r="B542"/>
      <c r="C542"/>
    </row>
    <row r="543" spans="2:3" x14ac:dyDescent="0.3">
      <c r="B543"/>
      <c r="C543"/>
    </row>
    <row r="544" spans="2:3" x14ac:dyDescent="0.3">
      <c r="B544"/>
      <c r="C544"/>
    </row>
    <row r="545" spans="2:3" x14ac:dyDescent="0.3">
      <c r="B545"/>
      <c r="C545"/>
    </row>
    <row r="546" spans="2:3" x14ac:dyDescent="0.3">
      <c r="B546"/>
      <c r="C546"/>
    </row>
    <row r="547" spans="2:3" x14ac:dyDescent="0.3">
      <c r="B547"/>
      <c r="C547"/>
    </row>
    <row r="548" spans="2:3" x14ac:dyDescent="0.3">
      <c r="B548"/>
      <c r="C548"/>
    </row>
    <row r="549" spans="2:3" x14ac:dyDescent="0.3">
      <c r="B549"/>
      <c r="C549"/>
    </row>
    <row r="550" spans="2:3" x14ac:dyDescent="0.3">
      <c r="B550"/>
      <c r="C550"/>
    </row>
    <row r="551" spans="2:3" x14ac:dyDescent="0.3">
      <c r="B551"/>
      <c r="C551"/>
    </row>
    <row r="552" spans="2:3" x14ac:dyDescent="0.3">
      <c r="B552"/>
      <c r="C552"/>
    </row>
    <row r="553" spans="2:3" x14ac:dyDescent="0.3">
      <c r="B553"/>
      <c r="C553"/>
    </row>
    <row r="554" spans="2:3" x14ac:dyDescent="0.3">
      <c r="B554"/>
      <c r="C554"/>
    </row>
    <row r="555" spans="2:3" x14ac:dyDescent="0.3">
      <c r="B555"/>
      <c r="C555"/>
    </row>
    <row r="556" spans="2:3" x14ac:dyDescent="0.3">
      <c r="B556"/>
      <c r="C556"/>
    </row>
    <row r="557" spans="2:3" x14ac:dyDescent="0.3">
      <c r="B557"/>
      <c r="C557"/>
    </row>
    <row r="558" spans="2:3" x14ac:dyDescent="0.3">
      <c r="B558"/>
      <c r="C558"/>
    </row>
    <row r="559" spans="2:3" x14ac:dyDescent="0.3">
      <c r="B559"/>
      <c r="C559"/>
    </row>
    <row r="560" spans="2:3" x14ac:dyDescent="0.3">
      <c r="B560"/>
      <c r="C560"/>
    </row>
    <row r="561" spans="2:3" x14ac:dyDescent="0.3">
      <c r="B561"/>
      <c r="C561"/>
    </row>
    <row r="562" spans="2:3" x14ac:dyDescent="0.3">
      <c r="B562"/>
      <c r="C562"/>
    </row>
    <row r="563" spans="2:3" x14ac:dyDescent="0.3">
      <c r="B563"/>
      <c r="C563"/>
    </row>
    <row r="564" spans="2:3" x14ac:dyDescent="0.3">
      <c r="B564"/>
      <c r="C564"/>
    </row>
    <row r="565" spans="2:3" x14ac:dyDescent="0.3">
      <c r="B565"/>
      <c r="C565"/>
    </row>
    <row r="566" spans="2:3" x14ac:dyDescent="0.3">
      <c r="B566"/>
      <c r="C566"/>
    </row>
    <row r="567" spans="2:3" x14ac:dyDescent="0.3">
      <c r="B567"/>
      <c r="C567"/>
    </row>
    <row r="568" spans="2:3" x14ac:dyDescent="0.3">
      <c r="B568"/>
      <c r="C568"/>
    </row>
    <row r="569" spans="2:3" x14ac:dyDescent="0.3">
      <c r="B569"/>
      <c r="C569"/>
    </row>
    <row r="570" spans="2:3" x14ac:dyDescent="0.3">
      <c r="B570"/>
      <c r="C570"/>
    </row>
    <row r="571" spans="2:3" x14ac:dyDescent="0.3">
      <c r="B571"/>
      <c r="C571"/>
    </row>
    <row r="572" spans="2:3" x14ac:dyDescent="0.3">
      <c r="B572"/>
      <c r="C572"/>
    </row>
    <row r="573" spans="2:3" x14ac:dyDescent="0.3">
      <c r="B573"/>
      <c r="C573"/>
    </row>
    <row r="574" spans="2:3" x14ac:dyDescent="0.3">
      <c r="B574"/>
      <c r="C574"/>
    </row>
    <row r="575" spans="2:3" x14ac:dyDescent="0.3">
      <c r="B575"/>
      <c r="C575"/>
    </row>
    <row r="576" spans="2:3" x14ac:dyDescent="0.3">
      <c r="B576"/>
      <c r="C576"/>
    </row>
    <row r="577" spans="2:3" x14ac:dyDescent="0.3">
      <c r="B577"/>
      <c r="C577"/>
    </row>
    <row r="578" spans="2:3" x14ac:dyDescent="0.3">
      <c r="B578"/>
      <c r="C578"/>
    </row>
    <row r="579" spans="2:3" x14ac:dyDescent="0.3">
      <c r="B579"/>
      <c r="C579"/>
    </row>
    <row r="580" spans="2:3" x14ac:dyDescent="0.3">
      <c r="B580"/>
      <c r="C580"/>
    </row>
    <row r="581" spans="2:3" x14ac:dyDescent="0.3">
      <c r="B581"/>
      <c r="C581"/>
    </row>
    <row r="582" spans="2:3" x14ac:dyDescent="0.3">
      <c r="B582"/>
      <c r="C582"/>
    </row>
    <row r="583" spans="2:3" x14ac:dyDescent="0.3">
      <c r="B583"/>
      <c r="C583"/>
    </row>
    <row r="584" spans="2:3" x14ac:dyDescent="0.3">
      <c r="B584"/>
      <c r="C584"/>
    </row>
    <row r="585" spans="2:3" x14ac:dyDescent="0.3">
      <c r="B585"/>
      <c r="C585"/>
    </row>
    <row r="586" spans="2:3" x14ac:dyDescent="0.3">
      <c r="B586"/>
      <c r="C586"/>
    </row>
    <row r="587" spans="2:3" x14ac:dyDescent="0.3">
      <c r="B587"/>
      <c r="C587"/>
    </row>
    <row r="588" spans="2:3" x14ac:dyDescent="0.3">
      <c r="B588"/>
      <c r="C588"/>
    </row>
    <row r="589" spans="2:3" x14ac:dyDescent="0.3">
      <c r="B589"/>
      <c r="C589"/>
    </row>
    <row r="590" spans="2:3" x14ac:dyDescent="0.3">
      <c r="B590"/>
      <c r="C590"/>
    </row>
    <row r="591" spans="2:3" x14ac:dyDescent="0.3">
      <c r="B591"/>
      <c r="C591"/>
    </row>
    <row r="592" spans="2:3" x14ac:dyDescent="0.3">
      <c r="B592"/>
      <c r="C592"/>
    </row>
    <row r="593" spans="2:3" x14ac:dyDescent="0.3">
      <c r="B593"/>
      <c r="C593"/>
    </row>
    <row r="594" spans="2:3" x14ac:dyDescent="0.3">
      <c r="B594"/>
      <c r="C594"/>
    </row>
    <row r="595" spans="2:3" x14ac:dyDescent="0.3">
      <c r="B595"/>
      <c r="C595"/>
    </row>
    <row r="596" spans="2:3" x14ac:dyDescent="0.3">
      <c r="B596"/>
      <c r="C596"/>
    </row>
    <row r="597" spans="2:3" x14ac:dyDescent="0.3">
      <c r="B597"/>
      <c r="C597"/>
    </row>
    <row r="598" spans="2:3" x14ac:dyDescent="0.3">
      <c r="B598"/>
      <c r="C598"/>
    </row>
    <row r="599" spans="2:3" x14ac:dyDescent="0.3">
      <c r="B599"/>
      <c r="C599"/>
    </row>
    <row r="600" spans="2:3" x14ac:dyDescent="0.3">
      <c r="B600"/>
      <c r="C600"/>
    </row>
    <row r="601" spans="2:3" x14ac:dyDescent="0.3">
      <c r="B601"/>
      <c r="C601"/>
    </row>
    <row r="602" spans="2:3" x14ac:dyDescent="0.3">
      <c r="B602"/>
      <c r="C602"/>
    </row>
    <row r="603" spans="2:3" x14ac:dyDescent="0.3">
      <c r="B603"/>
      <c r="C603"/>
    </row>
    <row r="604" spans="2:3" x14ac:dyDescent="0.3">
      <c r="B604"/>
      <c r="C604"/>
    </row>
    <row r="605" spans="2:3" x14ac:dyDescent="0.3">
      <c r="B605"/>
      <c r="C605"/>
    </row>
    <row r="606" spans="2:3" x14ac:dyDescent="0.3">
      <c r="B606"/>
      <c r="C606"/>
    </row>
    <row r="607" spans="2:3" x14ac:dyDescent="0.3">
      <c r="B607"/>
      <c r="C607"/>
    </row>
    <row r="608" spans="2:3" x14ac:dyDescent="0.3">
      <c r="B608"/>
      <c r="C608"/>
    </row>
    <row r="609" spans="2:3" x14ac:dyDescent="0.3">
      <c r="B609"/>
      <c r="C609"/>
    </row>
    <row r="610" spans="2:3" x14ac:dyDescent="0.3">
      <c r="B610"/>
      <c r="C610"/>
    </row>
    <row r="611" spans="2:3" x14ac:dyDescent="0.3">
      <c r="B611"/>
      <c r="C611"/>
    </row>
    <row r="612" spans="2:3" x14ac:dyDescent="0.3">
      <c r="B612"/>
      <c r="C612"/>
    </row>
    <row r="613" spans="2:3" x14ac:dyDescent="0.3">
      <c r="B613"/>
      <c r="C613"/>
    </row>
    <row r="614" spans="2:3" x14ac:dyDescent="0.3">
      <c r="B614"/>
      <c r="C614"/>
    </row>
    <row r="615" spans="2:3" x14ac:dyDescent="0.3">
      <c r="B615"/>
      <c r="C615"/>
    </row>
    <row r="616" spans="2:3" x14ac:dyDescent="0.3">
      <c r="B616"/>
      <c r="C616"/>
    </row>
    <row r="617" spans="2:3" x14ac:dyDescent="0.3">
      <c r="B617"/>
      <c r="C617"/>
    </row>
    <row r="618" spans="2:3" x14ac:dyDescent="0.3">
      <c r="B618"/>
      <c r="C618"/>
    </row>
    <row r="619" spans="2:3" x14ac:dyDescent="0.3">
      <c r="B619"/>
      <c r="C619"/>
    </row>
    <row r="620" spans="2:3" x14ac:dyDescent="0.3">
      <c r="B620"/>
      <c r="C620"/>
    </row>
    <row r="621" spans="2:3" x14ac:dyDescent="0.3">
      <c r="B621"/>
      <c r="C621"/>
    </row>
    <row r="622" spans="2:3" x14ac:dyDescent="0.3">
      <c r="B622"/>
      <c r="C622"/>
    </row>
    <row r="623" spans="2:3" x14ac:dyDescent="0.3">
      <c r="B623"/>
      <c r="C623"/>
    </row>
    <row r="624" spans="2:3" x14ac:dyDescent="0.3">
      <c r="B624"/>
      <c r="C624"/>
    </row>
    <row r="625" spans="2:3" x14ac:dyDescent="0.3">
      <c r="B625"/>
      <c r="C625"/>
    </row>
    <row r="626" spans="2:3" x14ac:dyDescent="0.3">
      <c r="B626"/>
      <c r="C626"/>
    </row>
    <row r="627" spans="2:3" x14ac:dyDescent="0.3">
      <c r="B627"/>
      <c r="C627"/>
    </row>
    <row r="628" spans="2:3" x14ac:dyDescent="0.3">
      <c r="B628"/>
      <c r="C628"/>
    </row>
    <row r="629" spans="2:3" x14ac:dyDescent="0.3">
      <c r="B629"/>
      <c r="C629"/>
    </row>
    <row r="630" spans="2:3" x14ac:dyDescent="0.3">
      <c r="B630"/>
      <c r="C630"/>
    </row>
    <row r="631" spans="2:3" x14ac:dyDescent="0.3">
      <c r="B631"/>
      <c r="C631"/>
    </row>
    <row r="632" spans="2:3" x14ac:dyDescent="0.3">
      <c r="B632"/>
      <c r="C632"/>
    </row>
    <row r="633" spans="2:3" x14ac:dyDescent="0.3">
      <c r="B633"/>
      <c r="C633"/>
    </row>
    <row r="634" spans="2:3" x14ac:dyDescent="0.3">
      <c r="B634"/>
      <c r="C634"/>
    </row>
    <row r="635" spans="2:3" x14ac:dyDescent="0.3">
      <c r="B635"/>
      <c r="C635"/>
    </row>
    <row r="636" spans="2:3" x14ac:dyDescent="0.3">
      <c r="B636"/>
      <c r="C636"/>
    </row>
    <row r="637" spans="2:3" x14ac:dyDescent="0.3">
      <c r="B637"/>
      <c r="C637"/>
    </row>
    <row r="638" spans="2:3" x14ac:dyDescent="0.3">
      <c r="B638"/>
      <c r="C638"/>
    </row>
    <row r="639" spans="2:3" x14ac:dyDescent="0.3">
      <c r="B639"/>
      <c r="C639"/>
    </row>
    <row r="640" spans="2:3" x14ac:dyDescent="0.3">
      <c r="B640"/>
      <c r="C640"/>
    </row>
    <row r="641" spans="2:3" x14ac:dyDescent="0.3">
      <c r="B641"/>
      <c r="C641"/>
    </row>
    <row r="642" spans="2:3" x14ac:dyDescent="0.3">
      <c r="B642"/>
      <c r="C642"/>
    </row>
    <row r="643" spans="2:3" x14ac:dyDescent="0.3">
      <c r="B643"/>
      <c r="C643"/>
    </row>
    <row r="644" spans="2:3" x14ac:dyDescent="0.3">
      <c r="B644"/>
      <c r="C644"/>
    </row>
    <row r="645" spans="2:3" x14ac:dyDescent="0.3">
      <c r="B645"/>
      <c r="C645"/>
    </row>
    <row r="646" spans="2:3" x14ac:dyDescent="0.3">
      <c r="B646"/>
      <c r="C646"/>
    </row>
    <row r="647" spans="2:3" x14ac:dyDescent="0.3">
      <c r="B647"/>
      <c r="C647"/>
    </row>
    <row r="648" spans="2:3" x14ac:dyDescent="0.3">
      <c r="B648"/>
      <c r="C648"/>
    </row>
    <row r="649" spans="2:3" x14ac:dyDescent="0.3">
      <c r="B649"/>
      <c r="C649"/>
    </row>
    <row r="650" spans="2:3" x14ac:dyDescent="0.3">
      <c r="B650"/>
      <c r="C650"/>
    </row>
    <row r="651" spans="2:3" x14ac:dyDescent="0.3">
      <c r="B651"/>
      <c r="C651"/>
    </row>
    <row r="652" spans="2:3" x14ac:dyDescent="0.3">
      <c r="B652"/>
      <c r="C652"/>
    </row>
    <row r="653" spans="2:3" x14ac:dyDescent="0.3">
      <c r="B653"/>
      <c r="C653"/>
    </row>
    <row r="654" spans="2:3" x14ac:dyDescent="0.3">
      <c r="B654"/>
      <c r="C654"/>
    </row>
    <row r="655" spans="2:3" x14ac:dyDescent="0.3">
      <c r="B655"/>
      <c r="C655"/>
    </row>
    <row r="656" spans="2:3" x14ac:dyDescent="0.3">
      <c r="B656"/>
      <c r="C656"/>
    </row>
    <row r="657" spans="2:3" x14ac:dyDescent="0.3">
      <c r="B657"/>
      <c r="C657"/>
    </row>
    <row r="658" spans="2:3" x14ac:dyDescent="0.3">
      <c r="B658"/>
      <c r="C658"/>
    </row>
    <row r="659" spans="2:3" x14ac:dyDescent="0.3">
      <c r="B659"/>
      <c r="C659"/>
    </row>
    <row r="660" spans="2:3" x14ac:dyDescent="0.3">
      <c r="B660"/>
      <c r="C660"/>
    </row>
    <row r="661" spans="2:3" x14ac:dyDescent="0.3">
      <c r="B661"/>
      <c r="C661"/>
    </row>
    <row r="662" spans="2:3" x14ac:dyDescent="0.3">
      <c r="B662"/>
      <c r="C662"/>
    </row>
    <row r="663" spans="2:3" x14ac:dyDescent="0.3">
      <c r="B663"/>
      <c r="C663"/>
    </row>
    <row r="664" spans="2:3" x14ac:dyDescent="0.3">
      <c r="B664"/>
      <c r="C664"/>
    </row>
    <row r="665" spans="2:3" x14ac:dyDescent="0.3">
      <c r="B665"/>
      <c r="C665"/>
    </row>
    <row r="666" spans="2:3" x14ac:dyDescent="0.3">
      <c r="B666"/>
      <c r="C666"/>
    </row>
    <row r="667" spans="2:3" x14ac:dyDescent="0.3">
      <c r="B667"/>
      <c r="C667"/>
    </row>
    <row r="668" spans="2:3" x14ac:dyDescent="0.3">
      <c r="B668"/>
      <c r="C668"/>
    </row>
    <row r="669" spans="2:3" x14ac:dyDescent="0.3">
      <c r="B669"/>
      <c r="C669"/>
    </row>
    <row r="670" spans="2:3" x14ac:dyDescent="0.3">
      <c r="B670"/>
      <c r="C670"/>
    </row>
    <row r="671" spans="2:3" x14ac:dyDescent="0.3">
      <c r="B671"/>
      <c r="C671"/>
    </row>
    <row r="672" spans="2:3" x14ac:dyDescent="0.3">
      <c r="B672"/>
      <c r="C672"/>
    </row>
    <row r="673" spans="2:3" x14ac:dyDescent="0.3">
      <c r="B673"/>
      <c r="C673"/>
    </row>
    <row r="674" spans="2:3" x14ac:dyDescent="0.3">
      <c r="B674"/>
      <c r="C674"/>
    </row>
    <row r="675" spans="2:3" x14ac:dyDescent="0.3">
      <c r="B675"/>
      <c r="C675"/>
    </row>
    <row r="676" spans="2:3" x14ac:dyDescent="0.3">
      <c r="B676"/>
      <c r="C676"/>
    </row>
    <row r="677" spans="2:3" x14ac:dyDescent="0.3">
      <c r="B677"/>
      <c r="C677"/>
    </row>
    <row r="678" spans="2:3" x14ac:dyDescent="0.3">
      <c r="B678"/>
      <c r="C678"/>
    </row>
    <row r="679" spans="2:3" x14ac:dyDescent="0.3">
      <c r="B679"/>
      <c r="C679"/>
    </row>
    <row r="680" spans="2:3" x14ac:dyDescent="0.3">
      <c r="B680"/>
      <c r="C680"/>
    </row>
    <row r="681" spans="2:3" x14ac:dyDescent="0.3">
      <c r="B681"/>
      <c r="C681"/>
    </row>
    <row r="682" spans="2:3" x14ac:dyDescent="0.3">
      <c r="B682"/>
      <c r="C682"/>
    </row>
    <row r="683" spans="2:3" x14ac:dyDescent="0.3">
      <c r="B683"/>
      <c r="C683"/>
    </row>
    <row r="684" spans="2:3" x14ac:dyDescent="0.3">
      <c r="B684"/>
      <c r="C684"/>
    </row>
    <row r="685" spans="2:3" x14ac:dyDescent="0.3">
      <c r="B685"/>
      <c r="C685"/>
    </row>
    <row r="686" spans="2:3" x14ac:dyDescent="0.3">
      <c r="B686"/>
      <c r="C686"/>
    </row>
    <row r="687" spans="2:3" x14ac:dyDescent="0.3">
      <c r="B687"/>
      <c r="C687"/>
    </row>
    <row r="688" spans="2:3" x14ac:dyDescent="0.3">
      <c r="B688"/>
      <c r="C688"/>
    </row>
    <row r="689" spans="2:3" x14ac:dyDescent="0.3">
      <c r="B689"/>
      <c r="C689"/>
    </row>
    <row r="690" spans="2:3" x14ac:dyDescent="0.3">
      <c r="B690"/>
      <c r="C690"/>
    </row>
    <row r="691" spans="2:3" x14ac:dyDescent="0.3">
      <c r="B691"/>
      <c r="C691"/>
    </row>
    <row r="692" spans="2:3" x14ac:dyDescent="0.3">
      <c r="B692"/>
      <c r="C692"/>
    </row>
    <row r="693" spans="2:3" x14ac:dyDescent="0.3">
      <c r="B693"/>
      <c r="C693"/>
    </row>
    <row r="694" spans="2:3" x14ac:dyDescent="0.3">
      <c r="B694"/>
      <c r="C694"/>
    </row>
    <row r="695" spans="2:3" x14ac:dyDescent="0.3">
      <c r="B695"/>
      <c r="C695"/>
    </row>
    <row r="696" spans="2:3" x14ac:dyDescent="0.3">
      <c r="B696"/>
      <c r="C696"/>
    </row>
    <row r="697" spans="2:3" x14ac:dyDescent="0.3">
      <c r="B697"/>
      <c r="C697"/>
    </row>
    <row r="698" spans="2:3" x14ac:dyDescent="0.3">
      <c r="B698"/>
      <c r="C698"/>
    </row>
    <row r="699" spans="2:3" x14ac:dyDescent="0.3">
      <c r="B699"/>
      <c r="C699"/>
    </row>
    <row r="700" spans="2:3" x14ac:dyDescent="0.3">
      <c r="B700"/>
      <c r="C700"/>
    </row>
    <row r="701" spans="2:3" x14ac:dyDescent="0.3">
      <c r="B701"/>
      <c r="C701"/>
    </row>
    <row r="702" spans="2:3" x14ac:dyDescent="0.3">
      <c r="B702"/>
      <c r="C702"/>
    </row>
    <row r="703" spans="2:3" x14ac:dyDescent="0.3">
      <c r="B703"/>
      <c r="C703"/>
    </row>
    <row r="704" spans="2:3" x14ac:dyDescent="0.3">
      <c r="B704"/>
      <c r="C704"/>
    </row>
    <row r="705" spans="2:3" x14ac:dyDescent="0.3">
      <c r="B705"/>
      <c r="C705"/>
    </row>
    <row r="706" spans="2:3" x14ac:dyDescent="0.3">
      <c r="B706"/>
      <c r="C706"/>
    </row>
    <row r="707" spans="2:3" x14ac:dyDescent="0.3">
      <c r="B707"/>
      <c r="C707"/>
    </row>
    <row r="708" spans="2:3" x14ac:dyDescent="0.3">
      <c r="B708"/>
      <c r="C708"/>
    </row>
    <row r="709" spans="2:3" x14ac:dyDescent="0.3">
      <c r="B709"/>
      <c r="C709"/>
    </row>
    <row r="710" spans="2:3" x14ac:dyDescent="0.3">
      <c r="B710"/>
      <c r="C710"/>
    </row>
    <row r="711" spans="2:3" x14ac:dyDescent="0.3">
      <c r="B711"/>
      <c r="C711"/>
    </row>
    <row r="712" spans="2:3" x14ac:dyDescent="0.3">
      <c r="B712"/>
      <c r="C712"/>
    </row>
    <row r="713" spans="2:3" x14ac:dyDescent="0.3">
      <c r="B713"/>
      <c r="C713"/>
    </row>
    <row r="714" spans="2:3" x14ac:dyDescent="0.3">
      <c r="B714"/>
      <c r="C714"/>
    </row>
    <row r="715" spans="2:3" x14ac:dyDescent="0.3">
      <c r="B715"/>
      <c r="C715"/>
    </row>
    <row r="716" spans="2:3" x14ac:dyDescent="0.3">
      <c r="B716"/>
      <c r="C716"/>
    </row>
    <row r="717" spans="2:3" x14ac:dyDescent="0.3">
      <c r="B717"/>
      <c r="C717"/>
    </row>
    <row r="718" spans="2:3" x14ac:dyDescent="0.3">
      <c r="B718"/>
      <c r="C718"/>
    </row>
    <row r="719" spans="2:3" x14ac:dyDescent="0.3">
      <c r="B719"/>
      <c r="C719"/>
    </row>
    <row r="720" spans="2:3" x14ac:dyDescent="0.3">
      <c r="B720"/>
      <c r="C720"/>
    </row>
    <row r="721" spans="2:3" x14ac:dyDescent="0.3">
      <c r="B721"/>
      <c r="C721"/>
    </row>
    <row r="722" spans="2:3" x14ac:dyDescent="0.3">
      <c r="B722"/>
      <c r="C722"/>
    </row>
    <row r="723" spans="2:3" x14ac:dyDescent="0.3">
      <c r="B723"/>
      <c r="C723"/>
    </row>
    <row r="724" spans="2:3" x14ac:dyDescent="0.3">
      <c r="B724"/>
      <c r="C724"/>
    </row>
    <row r="725" spans="2:3" x14ac:dyDescent="0.3">
      <c r="B725"/>
      <c r="C725"/>
    </row>
    <row r="726" spans="2:3" x14ac:dyDescent="0.3">
      <c r="B726"/>
      <c r="C726"/>
    </row>
    <row r="727" spans="2:3" x14ac:dyDescent="0.3">
      <c r="B727"/>
      <c r="C727"/>
    </row>
    <row r="728" spans="2:3" x14ac:dyDescent="0.3">
      <c r="B728"/>
      <c r="C728"/>
    </row>
    <row r="729" spans="2:3" x14ac:dyDescent="0.3">
      <c r="B729"/>
      <c r="C729"/>
    </row>
    <row r="730" spans="2:3" x14ac:dyDescent="0.3">
      <c r="B730"/>
      <c r="C730"/>
    </row>
    <row r="731" spans="2:3" x14ac:dyDescent="0.3">
      <c r="B731"/>
      <c r="C731"/>
    </row>
    <row r="732" spans="2:3" x14ac:dyDescent="0.3">
      <c r="B732"/>
      <c r="C732"/>
    </row>
    <row r="733" spans="2:3" x14ac:dyDescent="0.3">
      <c r="B733"/>
      <c r="C733"/>
    </row>
    <row r="734" spans="2:3" x14ac:dyDescent="0.3">
      <c r="B734"/>
      <c r="C734"/>
    </row>
    <row r="735" spans="2:3" x14ac:dyDescent="0.3">
      <c r="B735"/>
      <c r="C735"/>
    </row>
    <row r="736" spans="2:3" x14ac:dyDescent="0.3">
      <c r="B736"/>
      <c r="C736"/>
    </row>
    <row r="737" spans="2:3" x14ac:dyDescent="0.3">
      <c r="B737"/>
      <c r="C737"/>
    </row>
    <row r="738" spans="2:3" x14ac:dyDescent="0.3">
      <c r="B738"/>
      <c r="C738"/>
    </row>
    <row r="739" spans="2:3" x14ac:dyDescent="0.3">
      <c r="B739"/>
      <c r="C739"/>
    </row>
    <row r="740" spans="2:3" x14ac:dyDescent="0.3">
      <c r="B740"/>
      <c r="C740"/>
    </row>
    <row r="741" spans="2:3" x14ac:dyDescent="0.3">
      <c r="B741"/>
      <c r="C741"/>
    </row>
    <row r="742" spans="2:3" x14ac:dyDescent="0.3">
      <c r="B742"/>
      <c r="C742"/>
    </row>
    <row r="743" spans="2:3" x14ac:dyDescent="0.3">
      <c r="B743"/>
      <c r="C743"/>
    </row>
    <row r="744" spans="2:3" x14ac:dyDescent="0.3">
      <c r="B744"/>
      <c r="C744"/>
    </row>
    <row r="745" spans="2:3" x14ac:dyDescent="0.3">
      <c r="B745"/>
      <c r="C745"/>
    </row>
    <row r="746" spans="2:3" x14ac:dyDescent="0.3">
      <c r="B746"/>
      <c r="C746"/>
    </row>
    <row r="747" spans="2:3" x14ac:dyDescent="0.3">
      <c r="B747"/>
      <c r="C747"/>
    </row>
    <row r="748" spans="2:3" x14ac:dyDescent="0.3">
      <c r="B748"/>
      <c r="C748"/>
    </row>
    <row r="749" spans="2:3" x14ac:dyDescent="0.3">
      <c r="B749"/>
      <c r="C749"/>
    </row>
    <row r="750" spans="2:3" x14ac:dyDescent="0.3">
      <c r="B750"/>
      <c r="C750"/>
    </row>
    <row r="751" spans="2:3" x14ac:dyDescent="0.3">
      <c r="B751"/>
      <c r="C751"/>
    </row>
    <row r="752" spans="2:3" x14ac:dyDescent="0.3">
      <c r="B752"/>
      <c r="C752"/>
    </row>
    <row r="753" spans="2:3" x14ac:dyDescent="0.3">
      <c r="B753"/>
      <c r="C753"/>
    </row>
    <row r="754" spans="2:3" x14ac:dyDescent="0.3">
      <c r="B754"/>
      <c r="C754"/>
    </row>
    <row r="755" spans="2:3" x14ac:dyDescent="0.3">
      <c r="B755"/>
      <c r="C755"/>
    </row>
    <row r="756" spans="2:3" x14ac:dyDescent="0.3">
      <c r="B756"/>
      <c r="C756"/>
    </row>
    <row r="757" spans="2:3" x14ac:dyDescent="0.3">
      <c r="B757"/>
      <c r="C757"/>
    </row>
    <row r="758" spans="2:3" x14ac:dyDescent="0.3">
      <c r="B758"/>
      <c r="C758"/>
    </row>
    <row r="759" spans="2:3" x14ac:dyDescent="0.3">
      <c r="B759"/>
      <c r="C759"/>
    </row>
    <row r="760" spans="2:3" x14ac:dyDescent="0.3">
      <c r="B760"/>
      <c r="C760"/>
    </row>
    <row r="761" spans="2:3" x14ac:dyDescent="0.3">
      <c r="B761"/>
      <c r="C761"/>
    </row>
    <row r="762" spans="2:3" x14ac:dyDescent="0.3">
      <c r="B762"/>
      <c r="C762"/>
    </row>
    <row r="763" spans="2:3" x14ac:dyDescent="0.3">
      <c r="B763"/>
      <c r="C763"/>
    </row>
    <row r="764" spans="2:3" x14ac:dyDescent="0.3">
      <c r="B764"/>
      <c r="C764"/>
    </row>
    <row r="765" spans="2:3" x14ac:dyDescent="0.3">
      <c r="B765"/>
      <c r="C765"/>
    </row>
    <row r="766" spans="2:3" x14ac:dyDescent="0.3">
      <c r="B766"/>
      <c r="C766"/>
    </row>
    <row r="767" spans="2:3" x14ac:dyDescent="0.3">
      <c r="B767"/>
      <c r="C767"/>
    </row>
    <row r="768" spans="2:3" x14ac:dyDescent="0.3">
      <c r="B768"/>
      <c r="C768"/>
    </row>
    <row r="769" spans="2:3" x14ac:dyDescent="0.3">
      <c r="B769"/>
      <c r="C769"/>
    </row>
    <row r="770" spans="2:3" x14ac:dyDescent="0.3">
      <c r="B770"/>
      <c r="C770"/>
    </row>
    <row r="771" spans="2:3" x14ac:dyDescent="0.3">
      <c r="B771"/>
      <c r="C771"/>
    </row>
    <row r="772" spans="2:3" x14ac:dyDescent="0.3">
      <c r="B772"/>
      <c r="C772"/>
    </row>
    <row r="773" spans="2:3" x14ac:dyDescent="0.3">
      <c r="B773"/>
      <c r="C773"/>
    </row>
    <row r="774" spans="2:3" x14ac:dyDescent="0.3">
      <c r="B774"/>
      <c r="C774"/>
    </row>
    <row r="775" spans="2:3" x14ac:dyDescent="0.3">
      <c r="B775"/>
      <c r="C775"/>
    </row>
    <row r="776" spans="2:3" x14ac:dyDescent="0.3">
      <c r="B776"/>
      <c r="C776"/>
    </row>
    <row r="777" spans="2:3" x14ac:dyDescent="0.3">
      <c r="B777"/>
      <c r="C777"/>
    </row>
    <row r="778" spans="2:3" x14ac:dyDescent="0.3">
      <c r="B778"/>
      <c r="C778"/>
    </row>
    <row r="779" spans="2:3" x14ac:dyDescent="0.3">
      <c r="B779"/>
      <c r="C779"/>
    </row>
    <row r="780" spans="2:3" x14ac:dyDescent="0.3">
      <c r="B780"/>
      <c r="C780"/>
    </row>
    <row r="781" spans="2:3" x14ac:dyDescent="0.3">
      <c r="B781"/>
      <c r="C781"/>
    </row>
    <row r="782" spans="2:3" x14ac:dyDescent="0.3">
      <c r="B782"/>
      <c r="C782"/>
    </row>
    <row r="783" spans="2:3" x14ac:dyDescent="0.3">
      <c r="B783"/>
      <c r="C783"/>
    </row>
    <row r="784" spans="2:3" x14ac:dyDescent="0.3">
      <c r="B784"/>
      <c r="C784"/>
    </row>
    <row r="785" spans="2:3" x14ac:dyDescent="0.3">
      <c r="B785"/>
      <c r="C785"/>
    </row>
    <row r="786" spans="2:3" x14ac:dyDescent="0.3">
      <c r="B786"/>
      <c r="C786"/>
    </row>
    <row r="787" spans="2:3" x14ac:dyDescent="0.3">
      <c r="B787"/>
      <c r="C787"/>
    </row>
    <row r="788" spans="2:3" x14ac:dyDescent="0.3">
      <c r="B788"/>
      <c r="C788"/>
    </row>
    <row r="789" spans="2:3" x14ac:dyDescent="0.3">
      <c r="B789"/>
      <c r="C789"/>
    </row>
    <row r="790" spans="2:3" x14ac:dyDescent="0.3">
      <c r="B790"/>
      <c r="C790"/>
    </row>
    <row r="791" spans="2:3" x14ac:dyDescent="0.3">
      <c r="B791"/>
      <c r="C791"/>
    </row>
    <row r="792" spans="2:3" x14ac:dyDescent="0.3">
      <c r="B792"/>
      <c r="C792"/>
    </row>
    <row r="793" spans="2:3" x14ac:dyDescent="0.3">
      <c r="B793"/>
      <c r="C793"/>
    </row>
    <row r="794" spans="2:3" x14ac:dyDescent="0.3">
      <c r="B794"/>
      <c r="C794"/>
    </row>
    <row r="795" spans="2:3" x14ac:dyDescent="0.3">
      <c r="B795"/>
      <c r="C795"/>
    </row>
    <row r="796" spans="2:3" x14ac:dyDescent="0.3">
      <c r="B796"/>
      <c r="C796"/>
    </row>
    <row r="797" spans="2:3" x14ac:dyDescent="0.3">
      <c r="B797"/>
      <c r="C797"/>
    </row>
    <row r="798" spans="2:3" x14ac:dyDescent="0.3">
      <c r="B798"/>
      <c r="C798"/>
    </row>
    <row r="799" spans="2:3" x14ac:dyDescent="0.3">
      <c r="B799"/>
      <c r="C799"/>
    </row>
    <row r="800" spans="2:3" x14ac:dyDescent="0.3">
      <c r="B800"/>
      <c r="C800"/>
    </row>
    <row r="801" spans="2:3" x14ac:dyDescent="0.3">
      <c r="B801"/>
      <c r="C801"/>
    </row>
    <row r="802" spans="2:3" x14ac:dyDescent="0.3">
      <c r="B802"/>
      <c r="C802"/>
    </row>
    <row r="803" spans="2:3" x14ac:dyDescent="0.3">
      <c r="B803"/>
      <c r="C803"/>
    </row>
    <row r="804" spans="2:3" x14ac:dyDescent="0.3">
      <c r="B804"/>
      <c r="C804"/>
    </row>
    <row r="805" spans="2:3" x14ac:dyDescent="0.3">
      <c r="B805"/>
      <c r="C805"/>
    </row>
    <row r="806" spans="2:3" x14ac:dyDescent="0.3">
      <c r="B806"/>
      <c r="C806"/>
    </row>
    <row r="807" spans="2:3" x14ac:dyDescent="0.3">
      <c r="B807"/>
      <c r="C807"/>
    </row>
    <row r="808" spans="2:3" x14ac:dyDescent="0.3">
      <c r="B808"/>
      <c r="C808"/>
    </row>
    <row r="809" spans="2:3" x14ac:dyDescent="0.3">
      <c r="B809"/>
      <c r="C809"/>
    </row>
    <row r="810" spans="2:3" x14ac:dyDescent="0.3">
      <c r="B810"/>
      <c r="C810"/>
    </row>
    <row r="811" spans="2:3" x14ac:dyDescent="0.3">
      <c r="B811"/>
      <c r="C811"/>
    </row>
    <row r="812" spans="2:3" x14ac:dyDescent="0.3">
      <c r="B812"/>
      <c r="C812"/>
    </row>
    <row r="813" spans="2:3" x14ac:dyDescent="0.3">
      <c r="B813"/>
      <c r="C813"/>
    </row>
    <row r="814" spans="2:3" x14ac:dyDescent="0.3">
      <c r="B814"/>
      <c r="C814"/>
    </row>
    <row r="815" spans="2:3" x14ac:dyDescent="0.3">
      <c r="B815"/>
      <c r="C815"/>
    </row>
    <row r="816" spans="2:3" x14ac:dyDescent="0.3">
      <c r="B816"/>
      <c r="C816"/>
    </row>
    <row r="817" spans="2:3" x14ac:dyDescent="0.3">
      <c r="B817"/>
      <c r="C817"/>
    </row>
    <row r="818" spans="2:3" x14ac:dyDescent="0.3">
      <c r="B818"/>
      <c r="C818"/>
    </row>
    <row r="819" spans="2:3" x14ac:dyDescent="0.3">
      <c r="B819"/>
      <c r="C819"/>
    </row>
    <row r="820" spans="2:3" x14ac:dyDescent="0.3">
      <c r="B820"/>
      <c r="C820"/>
    </row>
    <row r="821" spans="2:3" x14ac:dyDescent="0.3">
      <c r="B821"/>
      <c r="C821"/>
    </row>
    <row r="822" spans="2:3" x14ac:dyDescent="0.3">
      <c r="B822"/>
      <c r="C822"/>
    </row>
    <row r="823" spans="2:3" x14ac:dyDescent="0.3">
      <c r="B823"/>
      <c r="C823"/>
    </row>
    <row r="824" spans="2:3" x14ac:dyDescent="0.3">
      <c r="B824"/>
      <c r="C824"/>
    </row>
    <row r="825" spans="2:3" x14ac:dyDescent="0.3">
      <c r="B825"/>
      <c r="C825"/>
    </row>
    <row r="826" spans="2:3" x14ac:dyDescent="0.3">
      <c r="B826"/>
      <c r="C826"/>
    </row>
    <row r="827" spans="2:3" x14ac:dyDescent="0.3">
      <c r="B827"/>
      <c r="C827"/>
    </row>
    <row r="828" spans="2:3" x14ac:dyDescent="0.3">
      <c r="B828"/>
      <c r="C828"/>
    </row>
    <row r="829" spans="2:3" x14ac:dyDescent="0.3">
      <c r="B829"/>
      <c r="C829"/>
    </row>
    <row r="830" spans="2:3" x14ac:dyDescent="0.3">
      <c r="B830"/>
      <c r="C830"/>
    </row>
    <row r="831" spans="2:3" x14ac:dyDescent="0.3">
      <c r="B831"/>
      <c r="C831"/>
    </row>
    <row r="832" spans="2:3" x14ac:dyDescent="0.3">
      <c r="B832"/>
      <c r="C832"/>
    </row>
    <row r="833" spans="2:3" x14ac:dyDescent="0.3">
      <c r="B833"/>
      <c r="C833"/>
    </row>
    <row r="834" spans="2:3" x14ac:dyDescent="0.3">
      <c r="B834"/>
      <c r="C834"/>
    </row>
    <row r="835" spans="2:3" x14ac:dyDescent="0.3">
      <c r="B835"/>
      <c r="C835"/>
    </row>
    <row r="836" spans="2:3" x14ac:dyDescent="0.3">
      <c r="B836"/>
      <c r="C836"/>
    </row>
    <row r="837" spans="2:3" x14ac:dyDescent="0.3">
      <c r="B837"/>
      <c r="C837"/>
    </row>
    <row r="838" spans="2:3" x14ac:dyDescent="0.3">
      <c r="B838"/>
      <c r="C838"/>
    </row>
    <row r="839" spans="2:3" x14ac:dyDescent="0.3">
      <c r="B839"/>
      <c r="C839"/>
    </row>
    <row r="840" spans="2:3" x14ac:dyDescent="0.3">
      <c r="B840"/>
      <c r="C840"/>
    </row>
    <row r="841" spans="2:3" x14ac:dyDescent="0.3">
      <c r="B841"/>
      <c r="C841"/>
    </row>
    <row r="842" spans="2:3" x14ac:dyDescent="0.3">
      <c r="B842"/>
      <c r="C842"/>
    </row>
    <row r="843" spans="2:3" x14ac:dyDescent="0.3">
      <c r="B843"/>
      <c r="C843"/>
    </row>
    <row r="844" spans="2:3" x14ac:dyDescent="0.3">
      <c r="B844"/>
      <c r="C844"/>
    </row>
    <row r="845" spans="2:3" x14ac:dyDescent="0.3">
      <c r="B845"/>
      <c r="C845"/>
    </row>
    <row r="846" spans="2:3" x14ac:dyDescent="0.3">
      <c r="B846"/>
      <c r="C846"/>
    </row>
    <row r="847" spans="2:3" x14ac:dyDescent="0.3">
      <c r="B847"/>
      <c r="C847"/>
    </row>
    <row r="848" spans="2:3" x14ac:dyDescent="0.3">
      <c r="B848"/>
      <c r="C848"/>
    </row>
    <row r="849" spans="2:3" x14ac:dyDescent="0.3">
      <c r="B849"/>
      <c r="C849"/>
    </row>
    <row r="850" spans="2:3" x14ac:dyDescent="0.3">
      <c r="B850"/>
      <c r="C850"/>
    </row>
    <row r="851" spans="2:3" x14ac:dyDescent="0.3">
      <c r="B851"/>
      <c r="C851"/>
    </row>
    <row r="852" spans="2:3" x14ac:dyDescent="0.3">
      <c r="B852"/>
      <c r="C852"/>
    </row>
    <row r="853" spans="2:3" x14ac:dyDescent="0.3">
      <c r="B853"/>
      <c r="C853"/>
    </row>
    <row r="854" spans="2:3" x14ac:dyDescent="0.3">
      <c r="B854"/>
      <c r="C854"/>
    </row>
    <row r="855" spans="2:3" x14ac:dyDescent="0.3">
      <c r="B855"/>
      <c r="C855"/>
    </row>
    <row r="856" spans="2:3" x14ac:dyDescent="0.3">
      <c r="B856"/>
      <c r="C856"/>
    </row>
    <row r="857" spans="2:3" x14ac:dyDescent="0.3">
      <c r="B857"/>
      <c r="C857"/>
    </row>
    <row r="858" spans="2:3" x14ac:dyDescent="0.3">
      <c r="B858"/>
      <c r="C858"/>
    </row>
    <row r="859" spans="2:3" x14ac:dyDescent="0.3">
      <c r="B859"/>
      <c r="C859"/>
    </row>
    <row r="860" spans="2:3" x14ac:dyDescent="0.3">
      <c r="B860"/>
      <c r="C860"/>
    </row>
    <row r="861" spans="2:3" x14ac:dyDescent="0.3">
      <c r="B861"/>
      <c r="C861"/>
    </row>
    <row r="862" spans="2:3" x14ac:dyDescent="0.3">
      <c r="B862"/>
      <c r="C862"/>
    </row>
    <row r="863" spans="2:3" x14ac:dyDescent="0.3">
      <c r="B863"/>
      <c r="C863"/>
    </row>
    <row r="864" spans="2:3" x14ac:dyDescent="0.3">
      <c r="B864"/>
      <c r="C864"/>
    </row>
    <row r="865" spans="2:3" x14ac:dyDescent="0.3">
      <c r="B865"/>
      <c r="C865"/>
    </row>
    <row r="866" spans="2:3" x14ac:dyDescent="0.3">
      <c r="B866"/>
      <c r="C866"/>
    </row>
    <row r="867" spans="2:3" x14ac:dyDescent="0.3">
      <c r="B867"/>
      <c r="C867"/>
    </row>
    <row r="868" spans="2:3" x14ac:dyDescent="0.3">
      <c r="B868"/>
      <c r="C868"/>
    </row>
    <row r="869" spans="2:3" x14ac:dyDescent="0.3">
      <c r="B869"/>
      <c r="C869"/>
    </row>
    <row r="870" spans="2:3" x14ac:dyDescent="0.3">
      <c r="B870"/>
      <c r="C870"/>
    </row>
    <row r="871" spans="2:3" x14ac:dyDescent="0.3">
      <c r="B871"/>
      <c r="C871"/>
    </row>
    <row r="872" spans="2:3" x14ac:dyDescent="0.3">
      <c r="B872"/>
      <c r="C872"/>
    </row>
    <row r="873" spans="2:3" x14ac:dyDescent="0.3">
      <c r="B873"/>
      <c r="C873"/>
    </row>
    <row r="874" spans="2:3" x14ac:dyDescent="0.3">
      <c r="B874"/>
      <c r="C874"/>
    </row>
    <row r="875" spans="2:3" x14ac:dyDescent="0.3">
      <c r="B875"/>
      <c r="C875"/>
    </row>
    <row r="876" spans="2:3" x14ac:dyDescent="0.3">
      <c r="B876"/>
      <c r="C876"/>
    </row>
    <row r="877" spans="2:3" x14ac:dyDescent="0.3">
      <c r="B877"/>
      <c r="C877"/>
    </row>
    <row r="878" spans="2:3" x14ac:dyDescent="0.3">
      <c r="B878"/>
      <c r="C878"/>
    </row>
    <row r="879" spans="2:3" x14ac:dyDescent="0.3">
      <c r="B879"/>
      <c r="C879"/>
    </row>
    <row r="880" spans="2:3" x14ac:dyDescent="0.3">
      <c r="B880"/>
      <c r="C880"/>
    </row>
    <row r="881" spans="2:3" x14ac:dyDescent="0.3">
      <c r="B881"/>
      <c r="C881"/>
    </row>
    <row r="882" spans="2:3" x14ac:dyDescent="0.3">
      <c r="B882"/>
      <c r="C882"/>
    </row>
    <row r="883" spans="2:3" x14ac:dyDescent="0.3">
      <c r="B883"/>
      <c r="C883"/>
    </row>
    <row r="884" spans="2:3" x14ac:dyDescent="0.3">
      <c r="B884"/>
      <c r="C884"/>
    </row>
    <row r="885" spans="2:3" x14ac:dyDescent="0.3">
      <c r="B885"/>
      <c r="C885"/>
    </row>
    <row r="886" spans="2:3" x14ac:dyDescent="0.3">
      <c r="B886"/>
      <c r="C886"/>
    </row>
    <row r="887" spans="2:3" x14ac:dyDescent="0.3">
      <c r="B887"/>
      <c r="C887"/>
    </row>
    <row r="888" spans="2:3" x14ac:dyDescent="0.3">
      <c r="B888"/>
      <c r="C888"/>
    </row>
    <row r="889" spans="2:3" x14ac:dyDescent="0.3">
      <c r="B889"/>
      <c r="C889"/>
    </row>
    <row r="890" spans="2:3" x14ac:dyDescent="0.3">
      <c r="B890"/>
      <c r="C890"/>
    </row>
    <row r="891" spans="2:3" x14ac:dyDescent="0.3">
      <c r="B891"/>
      <c r="C891"/>
    </row>
    <row r="892" spans="2:3" x14ac:dyDescent="0.3">
      <c r="B892"/>
      <c r="C892"/>
    </row>
    <row r="893" spans="2:3" x14ac:dyDescent="0.3">
      <c r="B893"/>
      <c r="C893"/>
    </row>
    <row r="894" spans="2:3" x14ac:dyDescent="0.3">
      <c r="B894"/>
      <c r="C894"/>
    </row>
    <row r="895" spans="2:3" x14ac:dyDescent="0.3">
      <c r="B895"/>
      <c r="C895"/>
    </row>
    <row r="896" spans="2:3" x14ac:dyDescent="0.3">
      <c r="B896"/>
      <c r="C896"/>
    </row>
    <row r="897" spans="2:3" x14ac:dyDescent="0.3">
      <c r="B897"/>
      <c r="C897"/>
    </row>
    <row r="898" spans="2:3" x14ac:dyDescent="0.3">
      <c r="B898"/>
      <c r="C898"/>
    </row>
    <row r="899" spans="2:3" x14ac:dyDescent="0.3">
      <c r="B899"/>
      <c r="C899"/>
    </row>
    <row r="900" spans="2:3" x14ac:dyDescent="0.3">
      <c r="B900"/>
      <c r="C900"/>
    </row>
    <row r="901" spans="2:3" x14ac:dyDescent="0.3">
      <c r="B901"/>
      <c r="C901"/>
    </row>
    <row r="902" spans="2:3" x14ac:dyDescent="0.3">
      <c r="B902"/>
      <c r="C902"/>
    </row>
    <row r="903" spans="2:3" x14ac:dyDescent="0.3">
      <c r="B903"/>
      <c r="C903"/>
    </row>
    <row r="904" spans="2:3" x14ac:dyDescent="0.3">
      <c r="B904"/>
      <c r="C904"/>
    </row>
    <row r="905" spans="2:3" x14ac:dyDescent="0.3">
      <c r="B905"/>
      <c r="C905"/>
    </row>
    <row r="906" spans="2:3" x14ac:dyDescent="0.3">
      <c r="B906"/>
      <c r="C906"/>
    </row>
    <row r="907" spans="2:3" x14ac:dyDescent="0.3">
      <c r="B907"/>
      <c r="C907"/>
    </row>
    <row r="908" spans="2:3" x14ac:dyDescent="0.3">
      <c r="B908"/>
      <c r="C908"/>
    </row>
    <row r="909" spans="2:3" x14ac:dyDescent="0.3">
      <c r="B909"/>
      <c r="C909"/>
    </row>
    <row r="910" spans="2:3" x14ac:dyDescent="0.3">
      <c r="B910"/>
      <c r="C910"/>
    </row>
    <row r="911" spans="2:3" x14ac:dyDescent="0.3">
      <c r="B911"/>
      <c r="C911"/>
    </row>
    <row r="912" spans="2:3" x14ac:dyDescent="0.3">
      <c r="B912"/>
      <c r="C912"/>
    </row>
    <row r="913" spans="2:3" x14ac:dyDescent="0.3">
      <c r="B913"/>
      <c r="C913"/>
    </row>
    <row r="914" spans="2:3" x14ac:dyDescent="0.3">
      <c r="B914"/>
      <c r="C914"/>
    </row>
    <row r="915" spans="2:3" x14ac:dyDescent="0.3">
      <c r="B915"/>
      <c r="C915"/>
    </row>
    <row r="916" spans="2:3" x14ac:dyDescent="0.3">
      <c r="B916"/>
      <c r="C916"/>
    </row>
    <row r="917" spans="2:3" x14ac:dyDescent="0.3">
      <c r="B917"/>
      <c r="C917"/>
    </row>
    <row r="918" spans="2:3" x14ac:dyDescent="0.3">
      <c r="B918"/>
      <c r="C918"/>
    </row>
    <row r="919" spans="2:3" x14ac:dyDescent="0.3">
      <c r="B919"/>
      <c r="C919"/>
    </row>
    <row r="920" spans="2:3" x14ac:dyDescent="0.3">
      <c r="B920"/>
      <c r="C920"/>
    </row>
    <row r="921" spans="2:3" x14ac:dyDescent="0.3">
      <c r="B921"/>
      <c r="C921"/>
    </row>
    <row r="922" spans="2:3" x14ac:dyDescent="0.3">
      <c r="B922"/>
      <c r="C922"/>
    </row>
    <row r="923" spans="2:3" x14ac:dyDescent="0.3">
      <c r="B923"/>
      <c r="C923"/>
    </row>
    <row r="924" spans="2:3" x14ac:dyDescent="0.3">
      <c r="B924"/>
      <c r="C924"/>
    </row>
    <row r="925" spans="2:3" x14ac:dyDescent="0.3">
      <c r="B925"/>
      <c r="C925"/>
    </row>
    <row r="926" spans="2:3" x14ac:dyDescent="0.3">
      <c r="B926"/>
      <c r="C926"/>
    </row>
    <row r="927" spans="2:3" x14ac:dyDescent="0.3">
      <c r="B927"/>
      <c r="C927"/>
    </row>
    <row r="928" spans="2:3" x14ac:dyDescent="0.3">
      <c r="B928"/>
      <c r="C928"/>
    </row>
    <row r="929" spans="2:3" x14ac:dyDescent="0.3">
      <c r="B929"/>
      <c r="C929"/>
    </row>
    <row r="930" spans="2:3" x14ac:dyDescent="0.3">
      <c r="B930"/>
      <c r="C930"/>
    </row>
    <row r="931" spans="2:3" x14ac:dyDescent="0.3">
      <c r="B931"/>
      <c r="C931"/>
    </row>
    <row r="932" spans="2:3" x14ac:dyDescent="0.3">
      <c r="B932"/>
      <c r="C932"/>
    </row>
    <row r="933" spans="2:3" x14ac:dyDescent="0.3">
      <c r="B933"/>
      <c r="C933"/>
    </row>
    <row r="934" spans="2:3" x14ac:dyDescent="0.3">
      <c r="B934"/>
      <c r="C934"/>
    </row>
    <row r="935" spans="2:3" x14ac:dyDescent="0.3">
      <c r="B935"/>
      <c r="C935"/>
    </row>
    <row r="936" spans="2:3" x14ac:dyDescent="0.3">
      <c r="B936"/>
      <c r="C936"/>
    </row>
    <row r="937" spans="2:3" x14ac:dyDescent="0.3">
      <c r="B937"/>
      <c r="C937"/>
    </row>
    <row r="938" spans="2:3" x14ac:dyDescent="0.3">
      <c r="B938"/>
      <c r="C938"/>
    </row>
    <row r="939" spans="2:3" x14ac:dyDescent="0.3">
      <c r="B939"/>
      <c r="C939"/>
    </row>
    <row r="940" spans="2:3" x14ac:dyDescent="0.3">
      <c r="B940"/>
      <c r="C940"/>
    </row>
    <row r="941" spans="2:3" x14ac:dyDescent="0.3">
      <c r="B941"/>
      <c r="C941"/>
    </row>
    <row r="942" spans="2:3" x14ac:dyDescent="0.3">
      <c r="B942"/>
      <c r="C942"/>
    </row>
    <row r="943" spans="2:3" x14ac:dyDescent="0.3">
      <c r="B943"/>
      <c r="C943"/>
    </row>
    <row r="944" spans="2:3" x14ac:dyDescent="0.3">
      <c r="B944"/>
      <c r="C944"/>
    </row>
    <row r="945" spans="2:3" x14ac:dyDescent="0.3">
      <c r="B945"/>
      <c r="C945"/>
    </row>
    <row r="946" spans="2:3" x14ac:dyDescent="0.3">
      <c r="B946"/>
      <c r="C946"/>
    </row>
    <row r="947" spans="2:3" x14ac:dyDescent="0.3">
      <c r="B947"/>
      <c r="C947"/>
    </row>
    <row r="948" spans="2:3" x14ac:dyDescent="0.3">
      <c r="B948"/>
      <c r="C948"/>
    </row>
    <row r="949" spans="2:3" x14ac:dyDescent="0.3">
      <c r="B949"/>
      <c r="C949"/>
    </row>
    <row r="950" spans="2:3" x14ac:dyDescent="0.3">
      <c r="B950"/>
      <c r="C950"/>
    </row>
    <row r="951" spans="2:3" x14ac:dyDescent="0.3">
      <c r="B951"/>
      <c r="C951"/>
    </row>
    <row r="952" spans="2:3" x14ac:dyDescent="0.3">
      <c r="B952"/>
      <c r="C952"/>
    </row>
    <row r="953" spans="2:3" x14ac:dyDescent="0.3">
      <c r="B953"/>
      <c r="C953"/>
    </row>
    <row r="954" spans="2:3" x14ac:dyDescent="0.3">
      <c r="B954"/>
      <c r="C954"/>
    </row>
    <row r="955" spans="2:3" x14ac:dyDescent="0.3">
      <c r="B955"/>
      <c r="C955"/>
    </row>
    <row r="956" spans="2:3" x14ac:dyDescent="0.3">
      <c r="B956"/>
      <c r="C956"/>
    </row>
    <row r="957" spans="2:3" x14ac:dyDescent="0.3">
      <c r="B957"/>
      <c r="C957"/>
    </row>
    <row r="958" spans="2:3" x14ac:dyDescent="0.3">
      <c r="B958"/>
      <c r="C958"/>
    </row>
    <row r="959" spans="2:3" x14ac:dyDescent="0.3">
      <c r="B959"/>
      <c r="C959"/>
    </row>
    <row r="960" spans="2:3" x14ac:dyDescent="0.3">
      <c r="B960"/>
      <c r="C960"/>
    </row>
    <row r="961" spans="2:3" x14ac:dyDescent="0.3">
      <c r="B961"/>
      <c r="C961"/>
    </row>
    <row r="962" spans="2:3" x14ac:dyDescent="0.3">
      <c r="B962"/>
      <c r="C962"/>
    </row>
    <row r="963" spans="2:3" x14ac:dyDescent="0.3">
      <c r="B963"/>
      <c r="C963"/>
    </row>
    <row r="964" spans="2:3" x14ac:dyDescent="0.3">
      <c r="B964"/>
      <c r="C964"/>
    </row>
    <row r="965" spans="2:3" x14ac:dyDescent="0.3">
      <c r="B965"/>
      <c r="C965"/>
    </row>
    <row r="966" spans="2:3" x14ac:dyDescent="0.3">
      <c r="B966"/>
      <c r="C966"/>
    </row>
    <row r="967" spans="2:3" x14ac:dyDescent="0.3">
      <c r="B967"/>
      <c r="C967"/>
    </row>
    <row r="968" spans="2:3" x14ac:dyDescent="0.3">
      <c r="B968"/>
      <c r="C968"/>
    </row>
    <row r="969" spans="2:3" x14ac:dyDescent="0.3">
      <c r="B969"/>
      <c r="C969"/>
    </row>
    <row r="970" spans="2:3" x14ac:dyDescent="0.3">
      <c r="B970"/>
      <c r="C970"/>
    </row>
    <row r="971" spans="2:3" x14ac:dyDescent="0.3">
      <c r="B971"/>
      <c r="C971"/>
    </row>
    <row r="972" spans="2:3" x14ac:dyDescent="0.3">
      <c r="B972"/>
      <c r="C972"/>
    </row>
    <row r="973" spans="2:3" x14ac:dyDescent="0.3">
      <c r="B973"/>
      <c r="C973"/>
    </row>
    <row r="974" spans="2:3" x14ac:dyDescent="0.3">
      <c r="B974"/>
      <c r="C974"/>
    </row>
    <row r="975" spans="2:3" x14ac:dyDescent="0.3">
      <c r="B975"/>
      <c r="C975"/>
    </row>
    <row r="976" spans="2:3" x14ac:dyDescent="0.3">
      <c r="B976"/>
      <c r="C976"/>
    </row>
    <row r="977" spans="2:3" x14ac:dyDescent="0.3">
      <c r="B977"/>
      <c r="C977"/>
    </row>
    <row r="978" spans="2:3" x14ac:dyDescent="0.3">
      <c r="B978"/>
      <c r="C978"/>
    </row>
    <row r="979" spans="2:3" x14ac:dyDescent="0.3">
      <c r="B979"/>
      <c r="C979"/>
    </row>
    <row r="980" spans="2:3" x14ac:dyDescent="0.3">
      <c r="B980"/>
      <c r="C980"/>
    </row>
    <row r="981" spans="2:3" x14ac:dyDescent="0.3">
      <c r="B981"/>
      <c r="C981"/>
    </row>
    <row r="982" spans="2:3" x14ac:dyDescent="0.3">
      <c r="B982"/>
      <c r="C982"/>
    </row>
    <row r="983" spans="2:3" x14ac:dyDescent="0.3">
      <c r="B983"/>
      <c r="C983"/>
    </row>
    <row r="984" spans="2:3" x14ac:dyDescent="0.3">
      <c r="B984"/>
      <c r="C984"/>
    </row>
    <row r="985" spans="2:3" x14ac:dyDescent="0.3">
      <c r="B985"/>
      <c r="C985"/>
    </row>
    <row r="986" spans="2:3" x14ac:dyDescent="0.3">
      <c r="B986"/>
      <c r="C986"/>
    </row>
    <row r="987" spans="2:3" x14ac:dyDescent="0.3">
      <c r="B987"/>
      <c r="C987"/>
    </row>
    <row r="988" spans="2:3" x14ac:dyDescent="0.3">
      <c r="B988"/>
      <c r="C988"/>
    </row>
    <row r="989" spans="2:3" x14ac:dyDescent="0.3">
      <c r="B989"/>
      <c r="C989"/>
    </row>
    <row r="990" spans="2:3" x14ac:dyDescent="0.3">
      <c r="B990"/>
      <c r="C990"/>
    </row>
    <row r="991" spans="2:3" x14ac:dyDescent="0.3">
      <c r="B991"/>
      <c r="C991"/>
    </row>
    <row r="992" spans="2:3" x14ac:dyDescent="0.3">
      <c r="B992"/>
      <c r="C992"/>
    </row>
    <row r="993" spans="2:3" x14ac:dyDescent="0.3">
      <c r="B993"/>
      <c r="C993"/>
    </row>
    <row r="994" spans="2:3" x14ac:dyDescent="0.3">
      <c r="B994"/>
      <c r="C994"/>
    </row>
    <row r="995" spans="2:3" x14ac:dyDescent="0.3">
      <c r="B995"/>
      <c r="C995"/>
    </row>
    <row r="996" spans="2:3" x14ac:dyDescent="0.3">
      <c r="B996"/>
      <c r="C996"/>
    </row>
    <row r="997" spans="2:3" x14ac:dyDescent="0.3">
      <c r="B997"/>
      <c r="C997"/>
    </row>
    <row r="998" spans="2:3" x14ac:dyDescent="0.3">
      <c r="B998"/>
      <c r="C998"/>
    </row>
    <row r="999" spans="2:3" x14ac:dyDescent="0.3">
      <c r="B999"/>
      <c r="C999"/>
    </row>
    <row r="1000" spans="2:3" x14ac:dyDescent="0.3">
      <c r="B1000"/>
      <c r="C1000"/>
    </row>
    <row r="1001" spans="2:3" x14ac:dyDescent="0.3">
      <c r="B1001"/>
      <c r="C1001"/>
    </row>
    <row r="1002" spans="2:3" x14ac:dyDescent="0.3">
      <c r="B1002"/>
      <c r="C1002"/>
    </row>
    <row r="1003" spans="2:3" x14ac:dyDescent="0.3">
      <c r="B1003"/>
      <c r="C1003"/>
    </row>
    <row r="1004" spans="2:3" x14ac:dyDescent="0.3">
      <c r="B1004"/>
      <c r="C1004"/>
    </row>
    <row r="1005" spans="2:3" x14ac:dyDescent="0.3">
      <c r="B1005"/>
      <c r="C1005"/>
    </row>
    <row r="1006" spans="2:3" x14ac:dyDescent="0.3">
      <c r="B1006"/>
      <c r="C1006"/>
    </row>
    <row r="1007" spans="2:3" x14ac:dyDescent="0.3">
      <c r="B1007"/>
      <c r="C1007"/>
    </row>
    <row r="1008" spans="2:3" x14ac:dyDescent="0.3">
      <c r="B1008"/>
      <c r="C1008"/>
    </row>
    <row r="1009" spans="2:3" x14ac:dyDescent="0.3">
      <c r="B1009"/>
      <c r="C1009"/>
    </row>
    <row r="1010" spans="2:3" x14ac:dyDescent="0.3">
      <c r="B1010"/>
      <c r="C1010"/>
    </row>
    <row r="1011" spans="2:3" x14ac:dyDescent="0.3">
      <c r="B1011"/>
      <c r="C1011"/>
    </row>
    <row r="1012" spans="2:3" x14ac:dyDescent="0.3">
      <c r="B1012"/>
      <c r="C1012"/>
    </row>
    <row r="1013" spans="2:3" x14ac:dyDescent="0.3">
      <c r="B1013"/>
      <c r="C1013"/>
    </row>
    <row r="1014" spans="2:3" x14ac:dyDescent="0.3">
      <c r="B1014"/>
      <c r="C1014"/>
    </row>
    <row r="1015" spans="2:3" x14ac:dyDescent="0.3">
      <c r="B1015"/>
      <c r="C1015"/>
    </row>
    <row r="1016" spans="2:3" x14ac:dyDescent="0.3">
      <c r="B1016"/>
      <c r="C1016"/>
    </row>
    <row r="1017" spans="2:3" x14ac:dyDescent="0.3">
      <c r="B1017"/>
      <c r="C1017"/>
    </row>
    <row r="1018" spans="2:3" x14ac:dyDescent="0.3">
      <c r="B1018"/>
      <c r="C1018"/>
    </row>
    <row r="1019" spans="2:3" x14ac:dyDescent="0.3">
      <c r="B1019"/>
      <c r="C1019"/>
    </row>
    <row r="1020" spans="2:3" x14ac:dyDescent="0.3">
      <c r="B1020"/>
      <c r="C1020"/>
    </row>
    <row r="1021" spans="2:3" x14ac:dyDescent="0.3">
      <c r="B1021"/>
      <c r="C1021"/>
    </row>
    <row r="1022" spans="2:3" x14ac:dyDescent="0.3">
      <c r="B1022"/>
      <c r="C1022"/>
    </row>
    <row r="1023" spans="2:3" x14ac:dyDescent="0.3">
      <c r="B1023"/>
      <c r="C1023"/>
    </row>
    <row r="1024" spans="2:3" x14ac:dyDescent="0.3">
      <c r="B1024"/>
      <c r="C1024"/>
    </row>
    <row r="1025" spans="2:3" x14ac:dyDescent="0.3">
      <c r="B1025"/>
      <c r="C1025"/>
    </row>
    <row r="1026" spans="2:3" x14ac:dyDescent="0.3">
      <c r="B1026"/>
      <c r="C1026"/>
    </row>
    <row r="1027" spans="2:3" x14ac:dyDescent="0.3">
      <c r="B1027"/>
      <c r="C1027"/>
    </row>
    <row r="1028" spans="2:3" x14ac:dyDescent="0.3">
      <c r="B1028"/>
      <c r="C1028"/>
    </row>
    <row r="1029" spans="2:3" x14ac:dyDescent="0.3">
      <c r="B1029"/>
      <c r="C1029"/>
    </row>
    <row r="1030" spans="2:3" x14ac:dyDescent="0.3">
      <c r="B1030"/>
      <c r="C1030"/>
    </row>
    <row r="1031" spans="2:3" x14ac:dyDescent="0.3">
      <c r="B1031"/>
      <c r="C1031"/>
    </row>
    <row r="1032" spans="2:3" x14ac:dyDescent="0.3">
      <c r="B1032"/>
      <c r="C1032"/>
    </row>
    <row r="1033" spans="2:3" x14ac:dyDescent="0.3">
      <c r="B1033"/>
      <c r="C1033"/>
    </row>
    <row r="1034" spans="2:3" x14ac:dyDescent="0.3">
      <c r="B1034"/>
      <c r="C1034"/>
    </row>
    <row r="1035" spans="2:3" x14ac:dyDescent="0.3">
      <c r="B1035"/>
      <c r="C1035"/>
    </row>
    <row r="1036" spans="2:3" x14ac:dyDescent="0.3">
      <c r="B1036"/>
      <c r="C1036"/>
    </row>
    <row r="1037" spans="2:3" x14ac:dyDescent="0.3">
      <c r="B1037"/>
      <c r="C1037"/>
    </row>
    <row r="1038" spans="2:3" x14ac:dyDescent="0.3">
      <c r="B1038"/>
      <c r="C1038"/>
    </row>
    <row r="1039" spans="2:3" x14ac:dyDescent="0.3">
      <c r="B1039"/>
      <c r="C1039"/>
    </row>
    <row r="1040" spans="2:3" x14ac:dyDescent="0.3">
      <c r="B1040"/>
      <c r="C1040"/>
    </row>
    <row r="1041" spans="2:3" x14ac:dyDescent="0.3">
      <c r="B1041"/>
      <c r="C1041"/>
    </row>
    <row r="1042" spans="2:3" x14ac:dyDescent="0.3">
      <c r="B1042"/>
      <c r="C1042"/>
    </row>
    <row r="1043" spans="2:3" x14ac:dyDescent="0.3">
      <c r="B1043"/>
      <c r="C1043"/>
    </row>
    <row r="1044" spans="2:3" x14ac:dyDescent="0.3">
      <c r="B1044"/>
      <c r="C1044"/>
    </row>
    <row r="1045" spans="2:3" x14ac:dyDescent="0.3">
      <c r="B1045"/>
      <c r="C1045"/>
    </row>
    <row r="1046" spans="2:3" x14ac:dyDescent="0.3">
      <c r="B1046"/>
      <c r="C1046"/>
    </row>
    <row r="1047" spans="2:3" x14ac:dyDescent="0.3">
      <c r="B1047"/>
      <c r="C1047"/>
    </row>
    <row r="1048" spans="2:3" x14ac:dyDescent="0.3">
      <c r="B1048"/>
      <c r="C1048"/>
    </row>
    <row r="1049" spans="2:3" x14ac:dyDescent="0.3">
      <c r="B1049"/>
      <c r="C1049"/>
    </row>
    <row r="1050" spans="2:3" x14ac:dyDescent="0.3">
      <c r="B1050"/>
      <c r="C1050"/>
    </row>
    <row r="1051" spans="2:3" x14ac:dyDescent="0.3">
      <c r="B1051"/>
      <c r="C1051"/>
    </row>
    <row r="1052" spans="2:3" x14ac:dyDescent="0.3">
      <c r="B1052"/>
      <c r="C1052"/>
    </row>
    <row r="1053" spans="2:3" x14ac:dyDescent="0.3">
      <c r="B1053"/>
      <c r="C1053"/>
    </row>
    <row r="1054" spans="2:3" x14ac:dyDescent="0.3">
      <c r="B1054"/>
      <c r="C1054"/>
    </row>
    <row r="1055" spans="2:3" x14ac:dyDescent="0.3">
      <c r="B1055"/>
      <c r="C1055"/>
    </row>
    <row r="1056" spans="2:3" x14ac:dyDescent="0.3">
      <c r="B1056"/>
      <c r="C1056"/>
    </row>
    <row r="1057" spans="2:3" x14ac:dyDescent="0.3">
      <c r="B1057"/>
      <c r="C1057"/>
    </row>
    <row r="1058" spans="2:3" x14ac:dyDescent="0.3">
      <c r="B1058"/>
      <c r="C1058"/>
    </row>
    <row r="1059" spans="2:3" x14ac:dyDescent="0.3">
      <c r="B1059"/>
      <c r="C1059"/>
    </row>
    <row r="1060" spans="2:3" x14ac:dyDescent="0.3">
      <c r="B1060"/>
      <c r="C1060"/>
    </row>
    <row r="1061" spans="2:3" x14ac:dyDescent="0.3">
      <c r="B1061"/>
      <c r="C1061"/>
    </row>
    <row r="1062" spans="2:3" x14ac:dyDescent="0.3">
      <c r="B1062"/>
      <c r="C1062"/>
    </row>
    <row r="1063" spans="2:3" x14ac:dyDescent="0.3">
      <c r="B1063"/>
      <c r="C1063"/>
    </row>
    <row r="1064" spans="2:3" x14ac:dyDescent="0.3">
      <c r="B1064"/>
      <c r="C1064"/>
    </row>
    <row r="1065" spans="2:3" x14ac:dyDescent="0.3">
      <c r="B1065"/>
      <c r="C1065"/>
    </row>
    <row r="1066" spans="2:3" x14ac:dyDescent="0.3">
      <c r="B1066"/>
      <c r="C1066"/>
    </row>
    <row r="1067" spans="2:3" x14ac:dyDescent="0.3">
      <c r="B1067"/>
      <c r="C1067"/>
    </row>
    <row r="1068" spans="2:3" x14ac:dyDescent="0.3">
      <c r="B1068"/>
      <c r="C1068"/>
    </row>
    <row r="1069" spans="2:3" x14ac:dyDescent="0.3">
      <c r="B1069"/>
      <c r="C1069"/>
    </row>
    <row r="1070" spans="2:3" x14ac:dyDescent="0.3">
      <c r="B1070"/>
      <c r="C1070"/>
    </row>
    <row r="1071" spans="2:3" x14ac:dyDescent="0.3">
      <c r="B1071"/>
      <c r="C1071"/>
    </row>
    <row r="1072" spans="2:3" x14ac:dyDescent="0.3">
      <c r="B1072"/>
      <c r="C1072"/>
    </row>
    <row r="1073" spans="2:3" x14ac:dyDescent="0.3">
      <c r="B1073"/>
      <c r="C1073"/>
    </row>
    <row r="1074" spans="2:3" x14ac:dyDescent="0.3">
      <c r="B1074"/>
      <c r="C1074"/>
    </row>
    <row r="1075" spans="2:3" x14ac:dyDescent="0.3">
      <c r="B1075"/>
      <c r="C1075"/>
    </row>
    <row r="1076" spans="2:3" x14ac:dyDescent="0.3">
      <c r="B1076"/>
      <c r="C1076"/>
    </row>
    <row r="1077" spans="2:3" x14ac:dyDescent="0.3">
      <c r="B1077"/>
      <c r="C1077"/>
    </row>
    <row r="1078" spans="2:3" x14ac:dyDescent="0.3">
      <c r="B1078"/>
      <c r="C1078"/>
    </row>
    <row r="1079" spans="2:3" x14ac:dyDescent="0.3">
      <c r="B1079"/>
      <c r="C1079"/>
    </row>
    <row r="1080" spans="2:3" x14ac:dyDescent="0.3">
      <c r="B1080"/>
      <c r="C1080"/>
    </row>
    <row r="1081" spans="2:3" x14ac:dyDescent="0.3">
      <c r="B1081"/>
      <c r="C1081"/>
    </row>
    <row r="1082" spans="2:3" x14ac:dyDescent="0.3">
      <c r="B1082"/>
      <c r="C1082"/>
    </row>
    <row r="1083" spans="2:3" x14ac:dyDescent="0.3">
      <c r="B1083"/>
      <c r="C1083"/>
    </row>
    <row r="1084" spans="2:3" x14ac:dyDescent="0.3">
      <c r="B1084"/>
      <c r="C1084"/>
    </row>
    <row r="1085" spans="2:3" x14ac:dyDescent="0.3">
      <c r="B1085"/>
      <c r="C1085"/>
    </row>
    <row r="1086" spans="2:3" x14ac:dyDescent="0.3">
      <c r="B1086"/>
      <c r="C1086"/>
    </row>
    <row r="1087" spans="2:3" x14ac:dyDescent="0.3">
      <c r="B1087"/>
      <c r="C1087"/>
    </row>
    <row r="1088" spans="2:3" x14ac:dyDescent="0.3">
      <c r="B1088"/>
      <c r="C1088"/>
    </row>
    <row r="1089" spans="2:3" x14ac:dyDescent="0.3">
      <c r="B1089"/>
      <c r="C1089"/>
    </row>
    <row r="1090" spans="2:3" x14ac:dyDescent="0.3">
      <c r="B1090"/>
      <c r="C1090"/>
    </row>
    <row r="1091" spans="2:3" x14ac:dyDescent="0.3">
      <c r="B1091"/>
      <c r="C1091"/>
    </row>
    <row r="1092" spans="2:3" x14ac:dyDescent="0.3">
      <c r="B1092"/>
      <c r="C1092"/>
    </row>
    <row r="1093" spans="2:3" x14ac:dyDescent="0.3">
      <c r="B1093"/>
      <c r="C1093"/>
    </row>
    <row r="1094" spans="2:3" x14ac:dyDescent="0.3">
      <c r="B1094"/>
      <c r="C1094"/>
    </row>
    <row r="1095" spans="2:3" x14ac:dyDescent="0.3">
      <c r="B1095"/>
      <c r="C1095"/>
    </row>
    <row r="1096" spans="2:3" x14ac:dyDescent="0.3">
      <c r="B1096"/>
      <c r="C1096"/>
    </row>
    <row r="1097" spans="2:3" x14ac:dyDescent="0.3">
      <c r="B1097"/>
      <c r="C1097"/>
    </row>
    <row r="1098" spans="2:3" x14ac:dyDescent="0.3">
      <c r="B1098"/>
      <c r="C1098"/>
    </row>
    <row r="1099" spans="2:3" x14ac:dyDescent="0.3">
      <c r="B1099"/>
      <c r="C1099"/>
    </row>
    <row r="1100" spans="2:3" x14ac:dyDescent="0.3">
      <c r="B1100"/>
      <c r="C1100"/>
    </row>
    <row r="1101" spans="2:3" x14ac:dyDescent="0.3">
      <c r="B1101"/>
      <c r="C1101"/>
    </row>
    <row r="1102" spans="2:3" x14ac:dyDescent="0.3">
      <c r="B1102"/>
      <c r="C1102"/>
    </row>
    <row r="1103" spans="2:3" x14ac:dyDescent="0.3">
      <c r="B1103"/>
      <c r="C1103"/>
    </row>
    <row r="1104" spans="2:3" x14ac:dyDescent="0.3">
      <c r="B1104"/>
      <c r="C1104"/>
    </row>
    <row r="1105" spans="2:3" x14ac:dyDescent="0.3">
      <c r="B1105"/>
      <c r="C1105"/>
    </row>
    <row r="1106" spans="2:3" x14ac:dyDescent="0.3">
      <c r="B1106"/>
      <c r="C1106"/>
    </row>
    <row r="1107" spans="2:3" x14ac:dyDescent="0.3">
      <c r="B1107"/>
      <c r="C1107"/>
    </row>
    <row r="1108" spans="2:3" x14ac:dyDescent="0.3">
      <c r="B1108"/>
      <c r="C1108"/>
    </row>
    <row r="1109" spans="2:3" x14ac:dyDescent="0.3">
      <c r="B1109"/>
      <c r="C1109"/>
    </row>
    <row r="1110" spans="2:3" x14ac:dyDescent="0.3">
      <c r="B1110"/>
      <c r="C1110"/>
    </row>
    <row r="1111" spans="2:3" x14ac:dyDescent="0.3">
      <c r="B1111"/>
      <c r="C1111"/>
    </row>
    <row r="1112" spans="2:3" x14ac:dyDescent="0.3">
      <c r="B1112"/>
      <c r="C1112"/>
    </row>
    <row r="1113" spans="2:3" x14ac:dyDescent="0.3">
      <c r="B1113"/>
      <c r="C1113"/>
    </row>
    <row r="1114" spans="2:3" x14ac:dyDescent="0.3">
      <c r="B1114"/>
      <c r="C1114"/>
    </row>
    <row r="1115" spans="2:3" x14ac:dyDescent="0.3">
      <c r="B1115"/>
      <c r="C1115"/>
    </row>
    <row r="1116" spans="2:3" x14ac:dyDescent="0.3">
      <c r="B1116"/>
      <c r="C1116"/>
    </row>
    <row r="1117" spans="2:3" x14ac:dyDescent="0.3">
      <c r="B1117"/>
      <c r="C1117"/>
    </row>
    <row r="1118" spans="2:3" x14ac:dyDescent="0.3">
      <c r="B1118"/>
      <c r="C1118"/>
    </row>
    <row r="1119" spans="2:3" x14ac:dyDescent="0.3">
      <c r="B1119"/>
      <c r="C1119"/>
    </row>
    <row r="1120" spans="2:3" x14ac:dyDescent="0.3">
      <c r="B1120"/>
      <c r="C1120"/>
    </row>
    <row r="1121" spans="2:3" x14ac:dyDescent="0.3">
      <c r="B1121"/>
      <c r="C1121"/>
    </row>
    <row r="1122" spans="2:3" x14ac:dyDescent="0.3">
      <c r="B1122"/>
      <c r="C1122"/>
    </row>
    <row r="1123" spans="2:3" x14ac:dyDescent="0.3">
      <c r="B1123"/>
      <c r="C1123"/>
    </row>
    <row r="1124" spans="2:3" x14ac:dyDescent="0.3">
      <c r="B1124"/>
      <c r="C1124"/>
    </row>
    <row r="1125" spans="2:3" x14ac:dyDescent="0.3">
      <c r="B1125"/>
      <c r="C1125"/>
    </row>
    <row r="1126" spans="2:3" x14ac:dyDescent="0.3">
      <c r="B1126"/>
      <c r="C1126"/>
    </row>
    <row r="1127" spans="2:3" x14ac:dyDescent="0.3">
      <c r="B1127"/>
      <c r="C1127"/>
    </row>
    <row r="1128" spans="2:3" x14ac:dyDescent="0.3">
      <c r="B1128"/>
      <c r="C1128"/>
    </row>
    <row r="1129" spans="2:3" x14ac:dyDescent="0.3">
      <c r="B1129"/>
      <c r="C1129"/>
    </row>
    <row r="1130" spans="2:3" x14ac:dyDescent="0.3">
      <c r="B1130"/>
      <c r="C1130"/>
    </row>
    <row r="1131" spans="2:3" x14ac:dyDescent="0.3">
      <c r="B1131"/>
      <c r="C1131"/>
    </row>
    <row r="1132" spans="2:3" x14ac:dyDescent="0.3">
      <c r="B1132"/>
      <c r="C1132"/>
    </row>
    <row r="1133" spans="2:3" x14ac:dyDescent="0.3">
      <c r="B1133"/>
      <c r="C1133"/>
    </row>
    <row r="1134" spans="2:3" x14ac:dyDescent="0.3">
      <c r="B1134"/>
      <c r="C1134"/>
    </row>
    <row r="1135" spans="2:3" x14ac:dyDescent="0.3">
      <c r="B1135"/>
      <c r="C1135"/>
    </row>
    <row r="1136" spans="2:3" x14ac:dyDescent="0.3">
      <c r="B1136"/>
      <c r="C1136"/>
    </row>
    <row r="1137" spans="2:3" x14ac:dyDescent="0.3">
      <c r="B1137"/>
      <c r="C1137"/>
    </row>
    <row r="1138" spans="2:3" x14ac:dyDescent="0.3">
      <c r="B1138"/>
      <c r="C1138"/>
    </row>
    <row r="1139" spans="2:3" x14ac:dyDescent="0.3">
      <c r="B1139"/>
      <c r="C1139"/>
    </row>
    <row r="1140" spans="2:3" x14ac:dyDescent="0.3">
      <c r="B1140"/>
      <c r="C1140"/>
    </row>
    <row r="1141" spans="2:3" x14ac:dyDescent="0.3">
      <c r="B1141"/>
      <c r="C1141"/>
    </row>
    <row r="1142" spans="2:3" x14ac:dyDescent="0.3">
      <c r="B1142"/>
      <c r="C1142"/>
    </row>
    <row r="1143" spans="2:3" x14ac:dyDescent="0.3">
      <c r="B1143"/>
      <c r="C1143"/>
    </row>
    <row r="1144" spans="2:3" x14ac:dyDescent="0.3">
      <c r="B1144"/>
      <c r="C1144"/>
    </row>
    <row r="1145" spans="2:3" x14ac:dyDescent="0.3">
      <c r="B1145"/>
      <c r="C1145"/>
    </row>
    <row r="1146" spans="2:3" x14ac:dyDescent="0.3">
      <c r="B1146"/>
      <c r="C1146"/>
    </row>
    <row r="1147" spans="2:3" x14ac:dyDescent="0.3">
      <c r="B1147"/>
      <c r="C1147"/>
    </row>
    <row r="1148" spans="2:3" x14ac:dyDescent="0.3">
      <c r="B1148"/>
      <c r="C1148"/>
    </row>
    <row r="1149" spans="2:3" x14ac:dyDescent="0.3">
      <c r="B1149"/>
      <c r="C1149"/>
    </row>
    <row r="1150" spans="2:3" x14ac:dyDescent="0.3">
      <c r="B1150"/>
      <c r="C1150"/>
    </row>
    <row r="1151" spans="2:3" x14ac:dyDescent="0.3">
      <c r="B1151"/>
      <c r="C1151"/>
    </row>
    <row r="1152" spans="2:3" x14ac:dyDescent="0.3">
      <c r="B1152"/>
      <c r="C1152"/>
    </row>
    <row r="1153" spans="2:3" x14ac:dyDescent="0.3">
      <c r="B1153"/>
      <c r="C1153"/>
    </row>
    <row r="1154" spans="2:3" x14ac:dyDescent="0.3">
      <c r="B1154"/>
      <c r="C1154"/>
    </row>
    <row r="1155" spans="2:3" x14ac:dyDescent="0.3">
      <c r="B1155"/>
      <c r="C1155"/>
    </row>
    <row r="1156" spans="2:3" x14ac:dyDescent="0.3">
      <c r="B1156"/>
      <c r="C1156"/>
    </row>
    <row r="1157" spans="2:3" x14ac:dyDescent="0.3">
      <c r="B1157"/>
      <c r="C1157"/>
    </row>
    <row r="1158" spans="2:3" x14ac:dyDescent="0.3">
      <c r="B1158"/>
      <c r="C1158"/>
    </row>
    <row r="1159" spans="2:3" x14ac:dyDescent="0.3">
      <c r="B1159"/>
      <c r="C1159"/>
    </row>
    <row r="1160" spans="2:3" x14ac:dyDescent="0.3">
      <c r="B1160"/>
      <c r="C1160"/>
    </row>
    <row r="1161" spans="2:3" x14ac:dyDescent="0.3">
      <c r="B1161"/>
      <c r="C1161"/>
    </row>
    <row r="1162" spans="2:3" x14ac:dyDescent="0.3">
      <c r="B1162"/>
      <c r="C1162"/>
    </row>
    <row r="1163" spans="2:3" x14ac:dyDescent="0.3">
      <c r="B1163"/>
      <c r="C1163"/>
    </row>
    <row r="1164" spans="2:3" x14ac:dyDescent="0.3">
      <c r="B1164"/>
      <c r="C1164"/>
    </row>
    <row r="1165" spans="2:3" x14ac:dyDescent="0.3">
      <c r="B1165"/>
      <c r="C1165"/>
    </row>
    <row r="1166" spans="2:3" x14ac:dyDescent="0.3">
      <c r="B1166"/>
      <c r="C1166"/>
    </row>
    <row r="1167" spans="2:3" x14ac:dyDescent="0.3">
      <c r="B1167"/>
      <c r="C1167"/>
    </row>
    <row r="1168" spans="2:3" x14ac:dyDescent="0.3">
      <c r="B1168"/>
      <c r="C1168"/>
    </row>
    <row r="1169" spans="2:3" x14ac:dyDescent="0.3">
      <c r="B1169"/>
      <c r="C1169"/>
    </row>
    <row r="1170" spans="2:3" x14ac:dyDescent="0.3">
      <c r="B1170"/>
      <c r="C1170"/>
    </row>
    <row r="1171" spans="2:3" x14ac:dyDescent="0.3">
      <c r="B1171"/>
      <c r="C1171"/>
    </row>
    <row r="1172" spans="2:3" x14ac:dyDescent="0.3">
      <c r="B1172"/>
      <c r="C1172"/>
    </row>
    <row r="1173" spans="2:3" x14ac:dyDescent="0.3">
      <c r="B1173"/>
      <c r="C1173"/>
    </row>
    <row r="1174" spans="2:3" x14ac:dyDescent="0.3">
      <c r="B1174"/>
      <c r="C1174"/>
    </row>
    <row r="1175" spans="2:3" x14ac:dyDescent="0.3">
      <c r="B1175"/>
      <c r="C1175"/>
    </row>
    <row r="1176" spans="2:3" x14ac:dyDescent="0.3">
      <c r="B1176"/>
      <c r="C1176"/>
    </row>
    <row r="1177" spans="2:3" x14ac:dyDescent="0.3">
      <c r="B1177"/>
      <c r="C1177"/>
    </row>
    <row r="1178" spans="2:3" x14ac:dyDescent="0.3">
      <c r="B1178"/>
      <c r="C1178"/>
    </row>
    <row r="1179" spans="2:3" x14ac:dyDescent="0.3">
      <c r="B1179"/>
      <c r="C1179"/>
    </row>
    <row r="1180" spans="2:3" x14ac:dyDescent="0.3">
      <c r="B1180"/>
      <c r="C1180"/>
    </row>
    <row r="1181" spans="2:3" x14ac:dyDescent="0.3">
      <c r="B1181"/>
      <c r="C1181"/>
    </row>
    <row r="1182" spans="2:3" x14ac:dyDescent="0.3">
      <c r="B1182"/>
      <c r="C1182"/>
    </row>
    <row r="1183" spans="2:3" x14ac:dyDescent="0.3">
      <c r="B1183"/>
      <c r="C1183"/>
    </row>
    <row r="1184" spans="2:3" x14ac:dyDescent="0.3">
      <c r="B1184"/>
      <c r="C1184"/>
    </row>
    <row r="1185" spans="2:3" x14ac:dyDescent="0.3">
      <c r="B1185"/>
      <c r="C1185"/>
    </row>
    <row r="1186" spans="2:3" x14ac:dyDescent="0.3">
      <c r="B1186"/>
      <c r="C1186"/>
    </row>
    <row r="1187" spans="2:3" x14ac:dyDescent="0.3">
      <c r="B1187"/>
      <c r="C1187"/>
    </row>
    <row r="1188" spans="2:3" x14ac:dyDescent="0.3">
      <c r="B1188"/>
      <c r="C1188"/>
    </row>
    <row r="1189" spans="2:3" x14ac:dyDescent="0.3">
      <c r="B1189"/>
      <c r="C1189"/>
    </row>
    <row r="1190" spans="2:3" x14ac:dyDescent="0.3">
      <c r="B1190"/>
      <c r="C1190"/>
    </row>
    <row r="1191" spans="2:3" x14ac:dyDescent="0.3">
      <c r="B1191"/>
      <c r="C1191"/>
    </row>
    <row r="1192" spans="2:3" x14ac:dyDescent="0.3">
      <c r="B1192"/>
      <c r="C1192"/>
    </row>
    <row r="1193" spans="2:3" x14ac:dyDescent="0.3">
      <c r="B1193"/>
      <c r="C1193"/>
    </row>
    <row r="1194" spans="2:3" x14ac:dyDescent="0.3">
      <c r="B1194"/>
      <c r="C1194"/>
    </row>
    <row r="1195" spans="2:3" x14ac:dyDescent="0.3">
      <c r="B1195"/>
      <c r="C1195"/>
    </row>
    <row r="1196" spans="2:3" x14ac:dyDescent="0.3">
      <c r="B1196"/>
      <c r="C1196"/>
    </row>
    <row r="1197" spans="2:3" x14ac:dyDescent="0.3">
      <c r="B1197"/>
      <c r="C1197"/>
    </row>
    <row r="1198" spans="2:3" x14ac:dyDescent="0.3">
      <c r="B1198"/>
      <c r="C1198"/>
    </row>
    <row r="1199" spans="2:3" x14ac:dyDescent="0.3">
      <c r="B1199"/>
      <c r="C1199"/>
    </row>
    <row r="1200" spans="2:3" x14ac:dyDescent="0.3">
      <c r="B1200"/>
      <c r="C1200"/>
    </row>
    <row r="1201" spans="2:3" x14ac:dyDescent="0.3">
      <c r="B1201"/>
      <c r="C1201"/>
    </row>
    <row r="1202" spans="2:3" x14ac:dyDescent="0.3">
      <c r="B1202"/>
      <c r="C1202"/>
    </row>
    <row r="1203" spans="2:3" x14ac:dyDescent="0.3">
      <c r="B1203"/>
      <c r="C1203"/>
    </row>
    <row r="1204" spans="2:3" x14ac:dyDescent="0.3">
      <c r="B1204"/>
      <c r="C1204"/>
    </row>
    <row r="1205" spans="2:3" x14ac:dyDescent="0.3">
      <c r="B1205"/>
      <c r="C1205"/>
    </row>
    <row r="1206" spans="2:3" x14ac:dyDescent="0.3">
      <c r="B1206"/>
      <c r="C1206"/>
    </row>
    <row r="1207" spans="2:3" x14ac:dyDescent="0.3">
      <c r="B1207"/>
      <c r="C1207"/>
    </row>
    <row r="1208" spans="2:3" x14ac:dyDescent="0.3">
      <c r="B1208"/>
      <c r="C1208"/>
    </row>
    <row r="1209" spans="2:3" x14ac:dyDescent="0.3">
      <c r="B1209"/>
      <c r="C1209"/>
    </row>
    <row r="1210" spans="2:3" x14ac:dyDescent="0.3">
      <c r="B1210"/>
      <c r="C1210"/>
    </row>
    <row r="1211" spans="2:3" x14ac:dyDescent="0.3">
      <c r="B1211"/>
      <c r="C1211"/>
    </row>
    <row r="1212" spans="2:3" x14ac:dyDescent="0.3">
      <c r="B1212"/>
      <c r="C1212"/>
    </row>
    <row r="1213" spans="2:3" x14ac:dyDescent="0.3">
      <c r="B1213"/>
      <c r="C1213"/>
    </row>
    <row r="1214" spans="2:3" x14ac:dyDescent="0.3">
      <c r="B1214"/>
      <c r="C1214"/>
    </row>
    <row r="1215" spans="2:3" x14ac:dyDescent="0.3">
      <c r="B1215"/>
      <c r="C1215"/>
    </row>
    <row r="1216" spans="2:3" x14ac:dyDescent="0.3">
      <c r="B1216"/>
      <c r="C1216"/>
    </row>
    <row r="1217" spans="2:3" x14ac:dyDescent="0.3">
      <c r="B1217"/>
      <c r="C1217"/>
    </row>
    <row r="1218" spans="2:3" x14ac:dyDescent="0.3">
      <c r="B1218"/>
      <c r="C1218"/>
    </row>
    <row r="1219" spans="2:3" x14ac:dyDescent="0.3">
      <c r="B1219"/>
      <c r="C1219"/>
    </row>
    <row r="1220" spans="2:3" x14ac:dyDescent="0.3">
      <c r="B1220"/>
      <c r="C1220"/>
    </row>
    <row r="1221" spans="2:3" x14ac:dyDescent="0.3">
      <c r="B1221"/>
      <c r="C1221"/>
    </row>
    <row r="1222" spans="2:3" x14ac:dyDescent="0.3">
      <c r="B1222"/>
      <c r="C1222"/>
    </row>
    <row r="1223" spans="2:3" x14ac:dyDescent="0.3">
      <c r="B1223"/>
      <c r="C1223"/>
    </row>
    <row r="1224" spans="2:3" x14ac:dyDescent="0.3">
      <c r="B1224"/>
      <c r="C1224"/>
    </row>
    <row r="1225" spans="2:3" x14ac:dyDescent="0.3">
      <c r="B1225"/>
      <c r="C1225"/>
    </row>
    <row r="1226" spans="2:3" x14ac:dyDescent="0.3">
      <c r="B1226"/>
      <c r="C1226"/>
    </row>
    <row r="1227" spans="2:3" x14ac:dyDescent="0.3">
      <c r="B1227"/>
      <c r="C1227"/>
    </row>
    <row r="1228" spans="2:3" x14ac:dyDescent="0.3">
      <c r="B1228"/>
      <c r="C1228"/>
    </row>
    <row r="1229" spans="2:3" x14ac:dyDescent="0.3">
      <c r="B1229"/>
      <c r="C1229"/>
    </row>
    <row r="1230" spans="2:3" x14ac:dyDescent="0.3">
      <c r="B1230"/>
      <c r="C1230"/>
    </row>
    <row r="1231" spans="2:3" x14ac:dyDescent="0.3">
      <c r="B1231"/>
      <c r="C1231"/>
    </row>
    <row r="1232" spans="2:3" x14ac:dyDescent="0.3">
      <c r="B1232"/>
      <c r="C1232"/>
    </row>
    <row r="1233" spans="2:3" x14ac:dyDescent="0.3">
      <c r="B1233"/>
      <c r="C1233"/>
    </row>
    <row r="1234" spans="2:3" x14ac:dyDescent="0.3">
      <c r="B1234"/>
      <c r="C1234"/>
    </row>
    <row r="1235" spans="2:3" x14ac:dyDescent="0.3">
      <c r="B1235"/>
      <c r="C1235"/>
    </row>
    <row r="1236" spans="2:3" x14ac:dyDescent="0.3">
      <c r="B1236"/>
      <c r="C1236"/>
    </row>
    <row r="1237" spans="2:3" x14ac:dyDescent="0.3">
      <c r="B1237"/>
      <c r="C1237"/>
    </row>
    <row r="1238" spans="2:3" x14ac:dyDescent="0.3">
      <c r="B1238"/>
      <c r="C1238"/>
    </row>
    <row r="1239" spans="2:3" x14ac:dyDescent="0.3">
      <c r="B1239"/>
      <c r="C1239"/>
    </row>
    <row r="1240" spans="2:3" x14ac:dyDescent="0.3">
      <c r="B1240"/>
      <c r="C1240"/>
    </row>
    <row r="1241" spans="2:3" x14ac:dyDescent="0.3">
      <c r="B1241"/>
      <c r="C1241"/>
    </row>
    <row r="1242" spans="2:3" x14ac:dyDescent="0.3">
      <c r="B1242"/>
      <c r="C1242"/>
    </row>
    <row r="1243" spans="2:3" x14ac:dyDescent="0.3">
      <c r="B1243"/>
      <c r="C1243"/>
    </row>
    <row r="1244" spans="2:3" x14ac:dyDescent="0.3">
      <c r="B1244"/>
      <c r="C1244"/>
    </row>
    <row r="1245" spans="2:3" x14ac:dyDescent="0.3">
      <c r="B1245"/>
      <c r="C1245"/>
    </row>
    <row r="1246" spans="2:3" x14ac:dyDescent="0.3">
      <c r="B1246"/>
      <c r="C1246"/>
    </row>
    <row r="1247" spans="2:3" x14ac:dyDescent="0.3">
      <c r="B1247"/>
      <c r="C1247"/>
    </row>
    <row r="1248" spans="2:3" x14ac:dyDescent="0.3">
      <c r="B1248"/>
      <c r="C1248"/>
    </row>
    <row r="1249" spans="2:3" x14ac:dyDescent="0.3">
      <c r="B1249"/>
      <c r="C1249"/>
    </row>
    <row r="1250" spans="2:3" x14ac:dyDescent="0.3">
      <c r="B1250"/>
      <c r="C1250"/>
    </row>
    <row r="1251" spans="2:3" x14ac:dyDescent="0.3">
      <c r="B1251"/>
      <c r="C1251"/>
    </row>
    <row r="1252" spans="2:3" x14ac:dyDescent="0.3">
      <c r="B1252"/>
      <c r="C1252"/>
    </row>
    <row r="1253" spans="2:3" x14ac:dyDescent="0.3">
      <c r="B1253"/>
      <c r="C1253"/>
    </row>
    <row r="1254" spans="2:3" x14ac:dyDescent="0.3">
      <c r="B1254"/>
      <c r="C1254"/>
    </row>
    <row r="1255" spans="2:3" x14ac:dyDescent="0.3">
      <c r="B1255"/>
      <c r="C1255"/>
    </row>
    <row r="1256" spans="2:3" x14ac:dyDescent="0.3">
      <c r="B1256"/>
      <c r="C1256"/>
    </row>
    <row r="1257" spans="2:3" x14ac:dyDescent="0.3">
      <c r="B1257"/>
      <c r="C1257"/>
    </row>
    <row r="1258" spans="2:3" x14ac:dyDescent="0.3">
      <c r="B1258"/>
      <c r="C1258"/>
    </row>
    <row r="1259" spans="2:3" x14ac:dyDescent="0.3">
      <c r="B1259"/>
      <c r="C1259"/>
    </row>
    <row r="1260" spans="2:3" x14ac:dyDescent="0.3">
      <c r="B1260"/>
      <c r="C1260"/>
    </row>
    <row r="1261" spans="2:3" x14ac:dyDescent="0.3">
      <c r="B1261"/>
      <c r="C1261"/>
    </row>
    <row r="1262" spans="2:3" x14ac:dyDescent="0.3">
      <c r="B1262"/>
      <c r="C1262"/>
    </row>
    <row r="1263" spans="2:3" x14ac:dyDescent="0.3">
      <c r="B1263"/>
      <c r="C1263"/>
    </row>
    <row r="1264" spans="2:3" x14ac:dyDescent="0.3">
      <c r="B1264"/>
      <c r="C1264"/>
    </row>
    <row r="1265" spans="2:3" x14ac:dyDescent="0.3">
      <c r="B1265"/>
      <c r="C1265"/>
    </row>
    <row r="1266" spans="2:3" x14ac:dyDescent="0.3">
      <c r="B1266"/>
      <c r="C1266"/>
    </row>
    <row r="1267" spans="2:3" x14ac:dyDescent="0.3">
      <c r="B1267"/>
      <c r="C1267"/>
    </row>
    <row r="1268" spans="2:3" x14ac:dyDescent="0.3">
      <c r="B1268"/>
      <c r="C1268"/>
    </row>
    <row r="1269" spans="2:3" x14ac:dyDescent="0.3">
      <c r="B1269"/>
      <c r="C1269"/>
    </row>
    <row r="1270" spans="2:3" x14ac:dyDescent="0.3">
      <c r="B1270"/>
      <c r="C1270"/>
    </row>
    <row r="1271" spans="2:3" x14ac:dyDescent="0.3">
      <c r="B1271"/>
      <c r="C1271"/>
    </row>
    <row r="1272" spans="2:3" x14ac:dyDescent="0.3">
      <c r="B1272"/>
      <c r="C1272"/>
    </row>
    <row r="1273" spans="2:3" x14ac:dyDescent="0.3">
      <c r="B1273"/>
      <c r="C1273"/>
    </row>
    <row r="1274" spans="2:3" x14ac:dyDescent="0.3">
      <c r="B1274"/>
      <c r="C1274"/>
    </row>
    <row r="1275" spans="2:3" x14ac:dyDescent="0.3">
      <c r="B1275"/>
      <c r="C1275"/>
    </row>
    <row r="1276" spans="2:3" x14ac:dyDescent="0.3">
      <c r="B1276"/>
      <c r="C1276"/>
    </row>
    <row r="1277" spans="2:3" x14ac:dyDescent="0.3">
      <c r="B1277"/>
      <c r="C1277"/>
    </row>
    <row r="1278" spans="2:3" x14ac:dyDescent="0.3">
      <c r="B1278"/>
      <c r="C1278"/>
    </row>
    <row r="1279" spans="2:3" x14ac:dyDescent="0.3">
      <c r="B1279"/>
      <c r="C1279"/>
    </row>
    <row r="1280" spans="2:3" x14ac:dyDescent="0.3">
      <c r="B1280"/>
      <c r="C1280"/>
    </row>
    <row r="1281" spans="2:3" x14ac:dyDescent="0.3">
      <c r="B1281"/>
      <c r="C1281"/>
    </row>
    <row r="1282" spans="2:3" x14ac:dyDescent="0.3">
      <c r="B1282"/>
      <c r="C1282"/>
    </row>
    <row r="1283" spans="2:3" x14ac:dyDescent="0.3">
      <c r="B1283"/>
      <c r="C1283"/>
    </row>
    <row r="1284" spans="2:3" x14ac:dyDescent="0.3">
      <c r="B1284"/>
      <c r="C1284"/>
    </row>
    <row r="1285" spans="2:3" x14ac:dyDescent="0.3">
      <c r="B1285"/>
      <c r="C1285"/>
    </row>
    <row r="1286" spans="2:3" x14ac:dyDescent="0.3">
      <c r="B1286"/>
      <c r="C1286"/>
    </row>
    <row r="1287" spans="2:3" x14ac:dyDescent="0.3">
      <c r="B1287"/>
      <c r="C1287"/>
    </row>
    <row r="1288" spans="2:3" x14ac:dyDescent="0.3">
      <c r="B1288"/>
      <c r="C1288"/>
    </row>
    <row r="1289" spans="2:3" x14ac:dyDescent="0.3">
      <c r="B1289"/>
      <c r="C1289"/>
    </row>
    <row r="1290" spans="2:3" x14ac:dyDescent="0.3">
      <c r="B1290"/>
      <c r="C1290"/>
    </row>
    <row r="1291" spans="2:3" x14ac:dyDescent="0.3">
      <c r="B1291"/>
      <c r="C1291"/>
    </row>
    <row r="1292" spans="2:3" x14ac:dyDescent="0.3">
      <c r="B1292"/>
      <c r="C1292"/>
    </row>
    <row r="1293" spans="2:3" x14ac:dyDescent="0.3">
      <c r="B1293"/>
      <c r="C1293"/>
    </row>
    <row r="1294" spans="2:3" x14ac:dyDescent="0.3">
      <c r="B1294"/>
      <c r="C1294"/>
    </row>
    <row r="1295" spans="2:3" x14ac:dyDescent="0.3">
      <c r="B1295"/>
      <c r="C1295"/>
    </row>
    <row r="1296" spans="2:3" x14ac:dyDescent="0.3">
      <c r="B1296"/>
      <c r="C1296"/>
    </row>
    <row r="1297" spans="2:3" x14ac:dyDescent="0.3">
      <c r="B1297"/>
      <c r="C1297"/>
    </row>
    <row r="1298" spans="2:3" x14ac:dyDescent="0.3">
      <c r="B1298"/>
      <c r="C1298"/>
    </row>
    <row r="1299" spans="2:3" x14ac:dyDescent="0.3">
      <c r="B1299"/>
      <c r="C1299"/>
    </row>
    <row r="1300" spans="2:3" x14ac:dyDescent="0.3">
      <c r="B1300"/>
      <c r="C1300"/>
    </row>
    <row r="1301" spans="2:3" x14ac:dyDescent="0.3">
      <c r="B1301"/>
      <c r="C1301"/>
    </row>
    <row r="1302" spans="2:3" x14ac:dyDescent="0.3">
      <c r="B1302"/>
      <c r="C1302"/>
    </row>
    <row r="1303" spans="2:3" x14ac:dyDescent="0.3">
      <c r="B1303"/>
      <c r="C1303"/>
    </row>
    <row r="1304" spans="2:3" x14ac:dyDescent="0.3">
      <c r="B1304"/>
      <c r="C1304"/>
    </row>
    <row r="1305" spans="2:3" x14ac:dyDescent="0.3">
      <c r="B1305"/>
      <c r="C1305"/>
    </row>
    <row r="1306" spans="2:3" x14ac:dyDescent="0.3">
      <c r="B1306"/>
      <c r="C1306"/>
    </row>
    <row r="1307" spans="2:3" x14ac:dyDescent="0.3">
      <c r="B1307"/>
      <c r="C1307"/>
    </row>
    <row r="1308" spans="2:3" x14ac:dyDescent="0.3">
      <c r="B1308"/>
      <c r="C1308"/>
    </row>
    <row r="1309" spans="2:3" x14ac:dyDescent="0.3">
      <c r="B1309"/>
      <c r="C1309"/>
    </row>
    <row r="1310" spans="2:3" x14ac:dyDescent="0.3">
      <c r="B1310"/>
      <c r="C1310"/>
    </row>
    <row r="1311" spans="2:3" x14ac:dyDescent="0.3">
      <c r="B1311"/>
      <c r="C1311"/>
    </row>
    <row r="1312" spans="2:3" x14ac:dyDescent="0.3">
      <c r="B1312"/>
      <c r="C1312"/>
    </row>
    <row r="1313" spans="2:3" x14ac:dyDescent="0.3">
      <c r="B1313"/>
      <c r="C1313"/>
    </row>
    <row r="1314" spans="2:3" x14ac:dyDescent="0.3">
      <c r="B1314"/>
      <c r="C1314"/>
    </row>
    <row r="1315" spans="2:3" x14ac:dyDescent="0.3">
      <c r="B1315"/>
      <c r="C1315"/>
    </row>
    <row r="1316" spans="2:3" x14ac:dyDescent="0.3">
      <c r="B1316"/>
      <c r="C1316"/>
    </row>
    <row r="1317" spans="2:3" x14ac:dyDescent="0.3">
      <c r="B1317"/>
      <c r="C1317"/>
    </row>
    <row r="1318" spans="2:3" x14ac:dyDescent="0.3">
      <c r="B1318"/>
      <c r="C1318"/>
    </row>
    <row r="1319" spans="2:3" x14ac:dyDescent="0.3">
      <c r="B1319"/>
      <c r="C1319"/>
    </row>
    <row r="1320" spans="2:3" x14ac:dyDescent="0.3">
      <c r="B1320"/>
      <c r="C1320"/>
    </row>
    <row r="1321" spans="2:3" x14ac:dyDescent="0.3">
      <c r="B1321"/>
      <c r="C1321"/>
    </row>
    <row r="1322" spans="2:3" x14ac:dyDescent="0.3">
      <c r="B1322"/>
      <c r="C1322"/>
    </row>
    <row r="1323" spans="2:3" x14ac:dyDescent="0.3">
      <c r="B1323"/>
      <c r="C1323"/>
    </row>
    <row r="1324" spans="2:3" x14ac:dyDescent="0.3">
      <c r="B1324"/>
      <c r="C1324"/>
    </row>
    <row r="1325" spans="2:3" x14ac:dyDescent="0.3">
      <c r="B1325"/>
      <c r="C1325"/>
    </row>
    <row r="1326" spans="2:3" x14ac:dyDescent="0.3">
      <c r="B1326"/>
      <c r="C1326"/>
    </row>
    <row r="1327" spans="2:3" x14ac:dyDescent="0.3">
      <c r="B1327"/>
      <c r="C1327"/>
    </row>
    <row r="1328" spans="2:3" x14ac:dyDescent="0.3">
      <c r="B1328"/>
      <c r="C1328"/>
    </row>
    <row r="1329" spans="2:3" x14ac:dyDescent="0.3">
      <c r="B1329"/>
      <c r="C1329"/>
    </row>
    <row r="1330" spans="2:3" x14ac:dyDescent="0.3">
      <c r="B1330"/>
      <c r="C1330"/>
    </row>
    <row r="1331" spans="2:3" x14ac:dyDescent="0.3">
      <c r="B1331"/>
      <c r="C1331"/>
    </row>
    <row r="1332" spans="2:3" x14ac:dyDescent="0.3">
      <c r="B1332"/>
      <c r="C1332"/>
    </row>
    <row r="1333" spans="2:3" x14ac:dyDescent="0.3">
      <c r="B1333"/>
      <c r="C1333"/>
    </row>
    <row r="1334" spans="2:3" x14ac:dyDescent="0.3">
      <c r="B1334"/>
      <c r="C1334"/>
    </row>
    <row r="1335" spans="2:3" x14ac:dyDescent="0.3">
      <c r="B1335"/>
      <c r="C1335"/>
    </row>
    <row r="1336" spans="2:3" x14ac:dyDescent="0.3">
      <c r="B1336"/>
      <c r="C1336"/>
    </row>
    <row r="1337" spans="2:3" x14ac:dyDescent="0.3">
      <c r="B1337"/>
      <c r="C1337"/>
    </row>
    <row r="1338" spans="2:3" x14ac:dyDescent="0.3">
      <c r="B1338"/>
      <c r="C1338"/>
    </row>
    <row r="1339" spans="2:3" x14ac:dyDescent="0.3">
      <c r="B1339"/>
      <c r="C1339"/>
    </row>
    <row r="1340" spans="2:3" x14ac:dyDescent="0.3">
      <c r="B1340"/>
      <c r="C1340"/>
    </row>
    <row r="1341" spans="2:3" x14ac:dyDescent="0.3">
      <c r="B1341"/>
      <c r="C1341"/>
    </row>
    <row r="1342" spans="2:3" x14ac:dyDescent="0.3">
      <c r="B1342"/>
      <c r="C1342"/>
    </row>
    <row r="1343" spans="2:3" x14ac:dyDescent="0.3">
      <c r="B1343"/>
      <c r="C1343"/>
    </row>
    <row r="1344" spans="2:3" x14ac:dyDescent="0.3">
      <c r="B1344"/>
      <c r="C1344"/>
    </row>
    <row r="1345" spans="2:3" x14ac:dyDescent="0.3">
      <c r="B1345"/>
      <c r="C1345"/>
    </row>
    <row r="1346" spans="2:3" x14ac:dyDescent="0.3">
      <c r="B1346"/>
      <c r="C1346"/>
    </row>
    <row r="1347" spans="2:3" x14ac:dyDescent="0.3">
      <c r="B1347"/>
      <c r="C1347"/>
    </row>
    <row r="1348" spans="2:3" x14ac:dyDescent="0.3">
      <c r="B1348"/>
      <c r="C1348"/>
    </row>
    <row r="1349" spans="2:3" x14ac:dyDescent="0.3">
      <c r="B1349"/>
      <c r="C1349"/>
    </row>
    <row r="1350" spans="2:3" x14ac:dyDescent="0.3">
      <c r="B1350"/>
      <c r="C1350"/>
    </row>
    <row r="1351" spans="2:3" x14ac:dyDescent="0.3">
      <c r="B1351"/>
      <c r="C1351"/>
    </row>
    <row r="1352" spans="2:3" x14ac:dyDescent="0.3">
      <c r="B1352"/>
      <c r="C1352"/>
    </row>
    <row r="1353" spans="2:3" x14ac:dyDescent="0.3">
      <c r="B1353"/>
      <c r="C1353"/>
    </row>
    <row r="1354" spans="2:3" x14ac:dyDescent="0.3">
      <c r="B1354"/>
      <c r="C1354"/>
    </row>
    <row r="1355" spans="2:3" x14ac:dyDescent="0.3">
      <c r="B1355"/>
      <c r="C1355"/>
    </row>
    <row r="1356" spans="2:3" x14ac:dyDescent="0.3">
      <c r="B1356"/>
      <c r="C1356"/>
    </row>
    <row r="1357" spans="2:3" x14ac:dyDescent="0.3">
      <c r="B1357"/>
      <c r="C1357"/>
    </row>
    <row r="1358" spans="2:3" x14ac:dyDescent="0.3">
      <c r="B1358"/>
      <c r="C1358"/>
    </row>
    <row r="1359" spans="2:3" x14ac:dyDescent="0.3">
      <c r="B1359"/>
      <c r="C1359"/>
    </row>
    <row r="1360" spans="2:3" x14ac:dyDescent="0.3">
      <c r="B1360"/>
      <c r="C1360"/>
    </row>
    <row r="1361" spans="2:3" x14ac:dyDescent="0.3">
      <c r="B1361"/>
      <c r="C1361"/>
    </row>
    <row r="1362" spans="2:3" x14ac:dyDescent="0.3">
      <c r="B1362"/>
      <c r="C1362"/>
    </row>
    <row r="1363" spans="2:3" x14ac:dyDescent="0.3">
      <c r="B1363"/>
      <c r="C1363"/>
    </row>
    <row r="1364" spans="2:3" x14ac:dyDescent="0.3">
      <c r="B1364"/>
      <c r="C1364"/>
    </row>
    <row r="1365" spans="2:3" x14ac:dyDescent="0.3">
      <c r="B1365"/>
      <c r="C1365"/>
    </row>
    <row r="1366" spans="2:3" x14ac:dyDescent="0.3">
      <c r="B1366"/>
      <c r="C1366"/>
    </row>
    <row r="1367" spans="2:3" x14ac:dyDescent="0.3">
      <c r="B1367"/>
      <c r="C1367"/>
    </row>
    <row r="1368" spans="2:3" x14ac:dyDescent="0.3">
      <c r="B1368"/>
      <c r="C1368"/>
    </row>
    <row r="1369" spans="2:3" x14ac:dyDescent="0.3">
      <c r="B1369"/>
      <c r="C1369"/>
    </row>
    <row r="1370" spans="2:3" x14ac:dyDescent="0.3">
      <c r="B1370"/>
      <c r="C1370"/>
    </row>
    <row r="1371" spans="2:3" x14ac:dyDescent="0.3">
      <c r="B1371"/>
      <c r="C1371"/>
    </row>
    <row r="1372" spans="2:3" x14ac:dyDescent="0.3">
      <c r="B1372"/>
      <c r="C1372"/>
    </row>
    <row r="1373" spans="2:3" x14ac:dyDescent="0.3">
      <c r="B1373"/>
      <c r="C1373"/>
    </row>
    <row r="1374" spans="2:3" x14ac:dyDescent="0.3">
      <c r="B1374"/>
      <c r="C1374"/>
    </row>
    <row r="1375" spans="2:3" x14ac:dyDescent="0.3">
      <c r="B1375"/>
      <c r="C1375"/>
    </row>
    <row r="1376" spans="2:3" x14ac:dyDescent="0.3">
      <c r="B1376"/>
      <c r="C1376"/>
    </row>
    <row r="1377" spans="2:3" x14ac:dyDescent="0.3">
      <c r="B1377"/>
      <c r="C1377"/>
    </row>
    <row r="1378" spans="2:3" x14ac:dyDescent="0.3">
      <c r="B1378"/>
      <c r="C1378"/>
    </row>
    <row r="1379" spans="2:3" x14ac:dyDescent="0.3">
      <c r="B1379"/>
      <c r="C1379"/>
    </row>
    <row r="1380" spans="2:3" x14ac:dyDescent="0.3">
      <c r="B1380"/>
      <c r="C1380"/>
    </row>
    <row r="1381" spans="2:3" x14ac:dyDescent="0.3">
      <c r="B1381"/>
      <c r="C1381"/>
    </row>
    <row r="1382" spans="2:3" x14ac:dyDescent="0.3">
      <c r="B1382"/>
      <c r="C1382"/>
    </row>
    <row r="1383" spans="2:3" x14ac:dyDescent="0.3">
      <c r="B1383"/>
      <c r="C1383"/>
    </row>
    <row r="1384" spans="2:3" x14ac:dyDescent="0.3">
      <c r="B1384"/>
      <c r="C1384"/>
    </row>
    <row r="1385" spans="2:3" x14ac:dyDescent="0.3">
      <c r="B1385"/>
      <c r="C1385"/>
    </row>
    <row r="1386" spans="2:3" x14ac:dyDescent="0.3">
      <c r="B1386"/>
      <c r="C1386"/>
    </row>
    <row r="1387" spans="2:3" x14ac:dyDescent="0.3">
      <c r="B1387"/>
      <c r="C1387"/>
    </row>
    <row r="1388" spans="2:3" x14ac:dyDescent="0.3">
      <c r="B1388"/>
      <c r="C1388"/>
    </row>
    <row r="1389" spans="2:3" x14ac:dyDescent="0.3">
      <c r="B1389"/>
      <c r="C1389"/>
    </row>
    <row r="1390" spans="2:3" x14ac:dyDescent="0.3">
      <c r="B1390"/>
      <c r="C1390"/>
    </row>
    <row r="1391" spans="2:3" x14ac:dyDescent="0.3">
      <c r="B1391"/>
      <c r="C1391"/>
    </row>
    <row r="1392" spans="2:3" x14ac:dyDescent="0.3">
      <c r="B1392"/>
      <c r="C1392"/>
    </row>
    <row r="1393" spans="2:3" x14ac:dyDescent="0.3">
      <c r="B1393"/>
      <c r="C1393"/>
    </row>
    <row r="1394" spans="2:3" x14ac:dyDescent="0.3">
      <c r="B1394"/>
      <c r="C1394"/>
    </row>
    <row r="1395" spans="2:3" x14ac:dyDescent="0.3">
      <c r="B1395"/>
      <c r="C1395"/>
    </row>
    <row r="1396" spans="2:3" x14ac:dyDescent="0.3">
      <c r="B1396"/>
      <c r="C1396"/>
    </row>
    <row r="1397" spans="2:3" x14ac:dyDescent="0.3">
      <c r="B1397"/>
      <c r="C1397"/>
    </row>
    <row r="1398" spans="2:3" x14ac:dyDescent="0.3">
      <c r="B1398"/>
      <c r="C1398"/>
    </row>
    <row r="1399" spans="2:3" x14ac:dyDescent="0.3">
      <c r="B1399"/>
      <c r="C1399"/>
    </row>
    <row r="1400" spans="2:3" x14ac:dyDescent="0.3">
      <c r="B1400"/>
      <c r="C1400"/>
    </row>
    <row r="1401" spans="2:3" x14ac:dyDescent="0.3">
      <c r="B1401"/>
      <c r="C1401"/>
    </row>
    <row r="1402" spans="2:3" x14ac:dyDescent="0.3">
      <c r="B1402"/>
      <c r="C1402"/>
    </row>
    <row r="1403" spans="2:3" x14ac:dyDescent="0.3">
      <c r="B1403"/>
      <c r="C1403"/>
    </row>
    <row r="1404" spans="2:3" x14ac:dyDescent="0.3">
      <c r="B1404"/>
      <c r="C1404"/>
    </row>
    <row r="1405" spans="2:3" x14ac:dyDescent="0.3">
      <c r="B1405"/>
      <c r="C1405"/>
    </row>
    <row r="1406" spans="2:3" x14ac:dyDescent="0.3">
      <c r="B1406"/>
      <c r="C1406"/>
    </row>
    <row r="1407" spans="2:3" x14ac:dyDescent="0.3">
      <c r="B1407"/>
      <c r="C1407"/>
    </row>
    <row r="1408" spans="2:3" x14ac:dyDescent="0.3">
      <c r="B1408"/>
      <c r="C1408"/>
    </row>
    <row r="1409" spans="2:3" x14ac:dyDescent="0.3">
      <c r="B1409"/>
      <c r="C1409"/>
    </row>
    <row r="1410" spans="2:3" x14ac:dyDescent="0.3">
      <c r="B1410"/>
      <c r="C1410"/>
    </row>
    <row r="1411" spans="2:3" x14ac:dyDescent="0.3">
      <c r="B1411"/>
      <c r="C1411"/>
    </row>
    <row r="1412" spans="2:3" x14ac:dyDescent="0.3">
      <c r="B1412"/>
      <c r="C1412"/>
    </row>
    <row r="1413" spans="2:3" x14ac:dyDescent="0.3">
      <c r="B1413"/>
      <c r="C1413"/>
    </row>
    <row r="1414" spans="2:3" x14ac:dyDescent="0.3">
      <c r="B1414"/>
      <c r="C1414"/>
    </row>
    <row r="1415" spans="2:3" x14ac:dyDescent="0.3">
      <c r="B1415"/>
      <c r="C1415"/>
    </row>
    <row r="1416" spans="2:3" x14ac:dyDescent="0.3">
      <c r="B1416"/>
      <c r="C1416"/>
    </row>
    <row r="1417" spans="2:3" x14ac:dyDescent="0.3">
      <c r="B1417"/>
      <c r="C1417"/>
    </row>
    <row r="1418" spans="2:3" x14ac:dyDescent="0.3">
      <c r="B1418"/>
      <c r="C1418"/>
    </row>
    <row r="1419" spans="2:3" x14ac:dyDescent="0.3">
      <c r="B1419"/>
      <c r="C1419"/>
    </row>
    <row r="1420" spans="2:3" x14ac:dyDescent="0.3">
      <c r="B1420"/>
      <c r="C1420"/>
    </row>
    <row r="1421" spans="2:3" x14ac:dyDescent="0.3">
      <c r="B1421"/>
      <c r="C1421"/>
    </row>
    <row r="1422" spans="2:3" x14ac:dyDescent="0.3">
      <c r="B1422"/>
      <c r="C1422"/>
    </row>
    <row r="1423" spans="2:3" x14ac:dyDescent="0.3">
      <c r="B1423"/>
      <c r="C1423"/>
    </row>
    <row r="1424" spans="2:3" x14ac:dyDescent="0.3">
      <c r="B1424"/>
      <c r="C1424"/>
    </row>
    <row r="1425" spans="2:3" x14ac:dyDescent="0.3">
      <c r="B1425"/>
      <c r="C1425"/>
    </row>
    <row r="1426" spans="2:3" x14ac:dyDescent="0.3">
      <c r="B1426"/>
      <c r="C1426"/>
    </row>
    <row r="1427" spans="2:3" x14ac:dyDescent="0.3">
      <c r="B1427"/>
      <c r="C1427"/>
    </row>
    <row r="1428" spans="2:3" x14ac:dyDescent="0.3">
      <c r="B1428"/>
      <c r="C1428"/>
    </row>
    <row r="1429" spans="2:3" x14ac:dyDescent="0.3">
      <c r="B1429"/>
      <c r="C1429"/>
    </row>
    <row r="1430" spans="2:3" x14ac:dyDescent="0.3">
      <c r="B1430"/>
      <c r="C1430"/>
    </row>
    <row r="1431" spans="2:3" x14ac:dyDescent="0.3">
      <c r="B1431"/>
      <c r="C1431"/>
    </row>
    <row r="1432" spans="2:3" x14ac:dyDescent="0.3">
      <c r="B1432"/>
      <c r="C1432"/>
    </row>
    <row r="1433" spans="2:3" x14ac:dyDescent="0.3">
      <c r="B1433"/>
      <c r="C1433"/>
    </row>
    <row r="1434" spans="2:3" x14ac:dyDescent="0.3">
      <c r="B1434"/>
      <c r="C1434"/>
    </row>
    <row r="1435" spans="2:3" x14ac:dyDescent="0.3">
      <c r="B1435"/>
      <c r="C1435"/>
    </row>
    <row r="1436" spans="2:3" x14ac:dyDescent="0.3">
      <c r="B1436"/>
      <c r="C1436"/>
    </row>
    <row r="1437" spans="2:3" x14ac:dyDescent="0.3">
      <c r="B1437"/>
      <c r="C1437"/>
    </row>
    <row r="1438" spans="2:3" x14ac:dyDescent="0.3">
      <c r="B1438"/>
      <c r="C1438"/>
    </row>
    <row r="1439" spans="2:3" x14ac:dyDescent="0.3">
      <c r="B1439"/>
      <c r="C1439"/>
    </row>
    <row r="1440" spans="2:3" x14ac:dyDescent="0.3">
      <c r="B1440"/>
      <c r="C1440"/>
    </row>
    <row r="1441" spans="2:3" x14ac:dyDescent="0.3">
      <c r="B1441"/>
      <c r="C1441"/>
    </row>
    <row r="1442" spans="2:3" x14ac:dyDescent="0.3">
      <c r="B1442"/>
      <c r="C1442"/>
    </row>
    <row r="1443" spans="2:3" x14ac:dyDescent="0.3">
      <c r="B1443"/>
      <c r="C1443"/>
    </row>
    <row r="1444" spans="2:3" x14ac:dyDescent="0.3">
      <c r="B1444"/>
      <c r="C1444"/>
    </row>
    <row r="1445" spans="2:3" x14ac:dyDescent="0.3">
      <c r="B1445"/>
      <c r="C1445"/>
    </row>
    <row r="1446" spans="2:3" x14ac:dyDescent="0.3">
      <c r="B1446"/>
      <c r="C1446"/>
    </row>
    <row r="1447" spans="2:3" x14ac:dyDescent="0.3">
      <c r="B1447"/>
      <c r="C1447"/>
    </row>
    <row r="1448" spans="2:3" x14ac:dyDescent="0.3">
      <c r="B1448"/>
      <c r="C1448"/>
    </row>
    <row r="1449" spans="2:3" x14ac:dyDescent="0.3">
      <c r="B1449"/>
      <c r="C1449"/>
    </row>
    <row r="1450" spans="2:3" x14ac:dyDescent="0.3">
      <c r="B1450"/>
      <c r="C1450"/>
    </row>
    <row r="1451" spans="2:3" x14ac:dyDescent="0.3">
      <c r="B1451"/>
      <c r="C1451"/>
    </row>
    <row r="1452" spans="2:3" x14ac:dyDescent="0.3">
      <c r="B1452"/>
      <c r="C1452"/>
    </row>
    <row r="1453" spans="2:3" x14ac:dyDescent="0.3">
      <c r="B1453"/>
      <c r="C1453"/>
    </row>
    <row r="1454" spans="2:3" x14ac:dyDescent="0.3">
      <c r="B1454"/>
      <c r="C1454"/>
    </row>
    <row r="1455" spans="2:3" x14ac:dyDescent="0.3">
      <c r="B1455"/>
      <c r="C1455"/>
    </row>
    <row r="1456" spans="2:3" x14ac:dyDescent="0.3">
      <c r="B1456"/>
      <c r="C1456"/>
    </row>
    <row r="1457" spans="2:3" x14ac:dyDescent="0.3">
      <c r="B1457"/>
      <c r="C1457"/>
    </row>
    <row r="1458" spans="2:3" x14ac:dyDescent="0.3">
      <c r="B1458"/>
      <c r="C1458"/>
    </row>
    <row r="1459" spans="2:3" x14ac:dyDescent="0.3">
      <c r="B1459"/>
      <c r="C1459"/>
    </row>
    <row r="1460" spans="2:3" x14ac:dyDescent="0.3">
      <c r="B1460"/>
      <c r="C1460"/>
    </row>
    <row r="1461" spans="2:3" x14ac:dyDescent="0.3">
      <c r="B1461"/>
      <c r="C1461"/>
    </row>
    <row r="1462" spans="2:3" x14ac:dyDescent="0.3">
      <c r="B1462"/>
      <c r="C1462"/>
    </row>
    <row r="1463" spans="2:3" x14ac:dyDescent="0.3">
      <c r="B1463"/>
      <c r="C1463"/>
    </row>
    <row r="1464" spans="2:3" x14ac:dyDescent="0.3">
      <c r="B1464"/>
      <c r="C1464"/>
    </row>
    <row r="1465" spans="2:3" x14ac:dyDescent="0.3">
      <c r="B1465"/>
      <c r="C1465"/>
    </row>
    <row r="1466" spans="2:3" x14ac:dyDescent="0.3">
      <c r="B1466"/>
      <c r="C1466"/>
    </row>
    <row r="1467" spans="2:3" x14ac:dyDescent="0.3">
      <c r="B1467"/>
      <c r="C1467"/>
    </row>
    <row r="1468" spans="2:3" x14ac:dyDescent="0.3">
      <c r="B1468"/>
      <c r="C1468"/>
    </row>
    <row r="1469" spans="2:3" x14ac:dyDescent="0.3">
      <c r="B1469"/>
      <c r="C1469"/>
    </row>
    <row r="1470" spans="2:3" x14ac:dyDescent="0.3">
      <c r="B1470"/>
      <c r="C1470"/>
    </row>
    <row r="1471" spans="2:3" x14ac:dyDescent="0.3">
      <c r="B1471"/>
      <c r="C1471"/>
    </row>
    <row r="1472" spans="2:3" x14ac:dyDescent="0.3">
      <c r="B1472"/>
      <c r="C1472"/>
    </row>
    <row r="1473" spans="2:3" x14ac:dyDescent="0.3">
      <c r="B1473"/>
      <c r="C1473"/>
    </row>
    <row r="1474" spans="2:3" x14ac:dyDescent="0.3">
      <c r="B1474"/>
      <c r="C1474"/>
    </row>
    <row r="1475" spans="2:3" x14ac:dyDescent="0.3">
      <c r="B1475"/>
      <c r="C1475"/>
    </row>
    <row r="1476" spans="2:3" x14ac:dyDescent="0.3">
      <c r="B1476"/>
      <c r="C1476"/>
    </row>
    <row r="1477" spans="2:3" x14ac:dyDescent="0.3">
      <c r="B1477"/>
      <c r="C1477"/>
    </row>
    <row r="1478" spans="2:3" x14ac:dyDescent="0.3">
      <c r="B1478"/>
      <c r="C1478"/>
    </row>
    <row r="1479" spans="2:3" x14ac:dyDescent="0.3">
      <c r="B1479"/>
      <c r="C1479"/>
    </row>
    <row r="1480" spans="2:3" x14ac:dyDescent="0.3">
      <c r="B1480"/>
      <c r="C1480"/>
    </row>
    <row r="1481" spans="2:3" x14ac:dyDescent="0.3">
      <c r="B1481"/>
      <c r="C1481"/>
    </row>
    <row r="1482" spans="2:3" x14ac:dyDescent="0.3">
      <c r="B1482"/>
      <c r="C1482"/>
    </row>
    <row r="1483" spans="2:3" x14ac:dyDescent="0.3">
      <c r="B1483"/>
      <c r="C1483"/>
    </row>
    <row r="1484" spans="2:3" x14ac:dyDescent="0.3">
      <c r="B1484"/>
      <c r="C1484"/>
    </row>
    <row r="1485" spans="2:3" x14ac:dyDescent="0.3">
      <c r="B1485"/>
      <c r="C1485"/>
    </row>
    <row r="1486" spans="2:3" x14ac:dyDescent="0.3">
      <c r="B1486"/>
      <c r="C1486"/>
    </row>
    <row r="1487" spans="2:3" x14ac:dyDescent="0.3">
      <c r="B1487"/>
      <c r="C1487"/>
    </row>
    <row r="1488" spans="2:3" x14ac:dyDescent="0.3">
      <c r="B1488"/>
      <c r="C1488"/>
    </row>
    <row r="1489" spans="2:3" x14ac:dyDescent="0.3">
      <c r="B1489"/>
      <c r="C1489"/>
    </row>
    <row r="1490" spans="2:3" x14ac:dyDescent="0.3">
      <c r="B1490"/>
      <c r="C1490"/>
    </row>
    <row r="1491" spans="2:3" x14ac:dyDescent="0.3">
      <c r="B1491"/>
      <c r="C1491"/>
    </row>
    <row r="1492" spans="2:3" x14ac:dyDescent="0.3">
      <c r="B1492"/>
      <c r="C1492"/>
    </row>
    <row r="1493" spans="2:3" x14ac:dyDescent="0.3">
      <c r="B1493"/>
      <c r="C1493"/>
    </row>
    <row r="1494" spans="2:3" x14ac:dyDescent="0.3">
      <c r="B1494"/>
      <c r="C1494"/>
    </row>
    <row r="1495" spans="2:3" x14ac:dyDescent="0.3">
      <c r="B1495"/>
      <c r="C1495"/>
    </row>
    <row r="1496" spans="2:3" x14ac:dyDescent="0.3">
      <c r="B1496"/>
      <c r="C1496"/>
    </row>
    <row r="1497" spans="2:3" x14ac:dyDescent="0.3">
      <c r="B1497"/>
      <c r="C1497"/>
    </row>
    <row r="1498" spans="2:3" x14ac:dyDescent="0.3">
      <c r="B1498"/>
      <c r="C1498"/>
    </row>
    <row r="1499" spans="2:3" x14ac:dyDescent="0.3">
      <c r="B1499"/>
      <c r="C1499"/>
    </row>
    <row r="1500" spans="2:3" x14ac:dyDescent="0.3">
      <c r="B1500"/>
      <c r="C1500"/>
    </row>
    <row r="1501" spans="2:3" x14ac:dyDescent="0.3">
      <c r="B1501"/>
      <c r="C1501"/>
    </row>
    <row r="1502" spans="2:3" x14ac:dyDescent="0.3">
      <c r="B1502"/>
      <c r="C1502"/>
    </row>
    <row r="1503" spans="2:3" x14ac:dyDescent="0.3">
      <c r="B1503"/>
      <c r="C1503"/>
    </row>
    <row r="1504" spans="2:3" x14ac:dyDescent="0.3">
      <c r="B1504"/>
      <c r="C1504"/>
    </row>
    <row r="1505" spans="2:3" x14ac:dyDescent="0.3">
      <c r="B1505"/>
      <c r="C1505"/>
    </row>
    <row r="1506" spans="2:3" x14ac:dyDescent="0.3">
      <c r="B1506"/>
      <c r="C1506"/>
    </row>
    <row r="1507" spans="2:3" x14ac:dyDescent="0.3">
      <c r="B1507"/>
      <c r="C1507"/>
    </row>
    <row r="1508" spans="2:3" x14ac:dyDescent="0.3">
      <c r="B1508"/>
      <c r="C1508"/>
    </row>
    <row r="1509" spans="2:3" x14ac:dyDescent="0.3">
      <c r="B1509"/>
      <c r="C1509"/>
    </row>
    <row r="1510" spans="2:3" x14ac:dyDescent="0.3">
      <c r="B1510"/>
      <c r="C1510"/>
    </row>
    <row r="1511" spans="2:3" x14ac:dyDescent="0.3">
      <c r="B1511"/>
      <c r="C1511"/>
    </row>
    <row r="1512" spans="2:3" x14ac:dyDescent="0.3">
      <c r="B1512"/>
      <c r="C1512"/>
    </row>
    <row r="1513" spans="2:3" x14ac:dyDescent="0.3">
      <c r="B1513"/>
      <c r="C1513"/>
    </row>
    <row r="1514" spans="2:3" x14ac:dyDescent="0.3">
      <c r="B1514"/>
      <c r="C1514"/>
    </row>
    <row r="1515" spans="2:3" x14ac:dyDescent="0.3">
      <c r="B1515"/>
      <c r="C1515"/>
    </row>
    <row r="1516" spans="2:3" x14ac:dyDescent="0.3">
      <c r="B1516"/>
      <c r="C1516"/>
    </row>
    <row r="1517" spans="2:3" x14ac:dyDescent="0.3">
      <c r="B1517"/>
      <c r="C1517"/>
    </row>
    <row r="1518" spans="2:3" x14ac:dyDescent="0.3">
      <c r="B1518"/>
      <c r="C1518"/>
    </row>
    <row r="1519" spans="2:3" x14ac:dyDescent="0.3">
      <c r="B1519"/>
      <c r="C1519"/>
    </row>
    <row r="1520" spans="2:3" x14ac:dyDescent="0.3">
      <c r="B1520"/>
      <c r="C1520"/>
    </row>
    <row r="1521" spans="2:3" x14ac:dyDescent="0.3">
      <c r="B1521"/>
      <c r="C1521"/>
    </row>
    <row r="1522" spans="2:3" x14ac:dyDescent="0.3">
      <c r="B1522"/>
      <c r="C1522"/>
    </row>
    <row r="1523" spans="2:3" x14ac:dyDescent="0.3">
      <c r="B1523"/>
      <c r="C1523"/>
    </row>
    <row r="1524" spans="2:3" x14ac:dyDescent="0.3">
      <c r="B1524"/>
      <c r="C1524"/>
    </row>
    <row r="1525" spans="2:3" x14ac:dyDescent="0.3">
      <c r="B1525"/>
      <c r="C1525"/>
    </row>
    <row r="1526" spans="2:3" x14ac:dyDescent="0.3">
      <c r="B1526"/>
      <c r="C1526"/>
    </row>
    <row r="1527" spans="2:3" x14ac:dyDescent="0.3">
      <c r="B1527"/>
      <c r="C1527"/>
    </row>
    <row r="1528" spans="2:3" x14ac:dyDescent="0.3">
      <c r="B1528"/>
      <c r="C1528"/>
    </row>
    <row r="1529" spans="2:3" x14ac:dyDescent="0.3">
      <c r="B1529"/>
      <c r="C1529"/>
    </row>
    <row r="1530" spans="2:3" x14ac:dyDescent="0.3">
      <c r="B1530"/>
      <c r="C1530"/>
    </row>
    <row r="1531" spans="2:3" x14ac:dyDescent="0.3">
      <c r="B1531"/>
      <c r="C1531"/>
    </row>
    <row r="1532" spans="2:3" x14ac:dyDescent="0.3">
      <c r="B1532"/>
      <c r="C1532"/>
    </row>
    <row r="1533" spans="2:3" x14ac:dyDescent="0.3">
      <c r="B1533"/>
      <c r="C1533"/>
    </row>
    <row r="1534" spans="2:3" x14ac:dyDescent="0.3">
      <c r="B1534"/>
      <c r="C1534"/>
    </row>
    <row r="1535" spans="2:3" x14ac:dyDescent="0.3">
      <c r="B1535"/>
      <c r="C1535"/>
    </row>
    <row r="1536" spans="2:3" x14ac:dyDescent="0.3">
      <c r="B1536"/>
      <c r="C1536"/>
    </row>
    <row r="1537" spans="2:3" x14ac:dyDescent="0.3">
      <c r="B1537"/>
      <c r="C1537"/>
    </row>
    <row r="1538" spans="2:3" x14ac:dyDescent="0.3">
      <c r="B1538"/>
      <c r="C1538"/>
    </row>
    <row r="1539" spans="2:3" x14ac:dyDescent="0.3">
      <c r="B1539"/>
      <c r="C1539"/>
    </row>
    <row r="1540" spans="2:3" x14ac:dyDescent="0.3">
      <c r="B1540"/>
      <c r="C1540"/>
    </row>
    <row r="1541" spans="2:3" x14ac:dyDescent="0.3">
      <c r="B1541"/>
      <c r="C1541"/>
    </row>
    <row r="1542" spans="2:3" x14ac:dyDescent="0.3">
      <c r="B1542"/>
      <c r="C1542"/>
    </row>
    <row r="1543" spans="2:3" x14ac:dyDescent="0.3">
      <c r="B1543"/>
      <c r="C1543"/>
    </row>
    <row r="1544" spans="2:3" x14ac:dyDescent="0.3">
      <c r="B1544"/>
      <c r="C1544"/>
    </row>
    <row r="1545" spans="2:3" x14ac:dyDescent="0.3">
      <c r="B1545"/>
      <c r="C1545"/>
    </row>
    <row r="1546" spans="2:3" x14ac:dyDescent="0.3">
      <c r="B1546"/>
      <c r="C1546"/>
    </row>
    <row r="1547" spans="2:3" x14ac:dyDescent="0.3">
      <c r="B1547"/>
      <c r="C1547"/>
    </row>
    <row r="1548" spans="2:3" x14ac:dyDescent="0.3">
      <c r="B1548"/>
      <c r="C1548"/>
    </row>
    <row r="1549" spans="2:3" x14ac:dyDescent="0.3">
      <c r="B1549"/>
      <c r="C1549"/>
    </row>
    <row r="1550" spans="2:3" x14ac:dyDescent="0.3">
      <c r="B1550"/>
      <c r="C1550"/>
    </row>
    <row r="1551" spans="2:3" x14ac:dyDescent="0.3">
      <c r="B1551"/>
      <c r="C1551"/>
    </row>
    <row r="1552" spans="2:3" x14ac:dyDescent="0.3">
      <c r="B1552"/>
      <c r="C1552"/>
    </row>
    <row r="1553" spans="2:3" x14ac:dyDescent="0.3">
      <c r="B1553"/>
      <c r="C1553"/>
    </row>
    <row r="1554" spans="2:3" x14ac:dyDescent="0.3">
      <c r="B1554"/>
      <c r="C1554"/>
    </row>
    <row r="1555" spans="2:3" x14ac:dyDescent="0.3">
      <c r="B1555"/>
      <c r="C1555"/>
    </row>
    <row r="1556" spans="2:3" x14ac:dyDescent="0.3">
      <c r="B1556"/>
      <c r="C1556"/>
    </row>
    <row r="1557" spans="2:3" x14ac:dyDescent="0.3">
      <c r="B1557"/>
      <c r="C1557"/>
    </row>
    <row r="1558" spans="2:3" x14ac:dyDescent="0.3">
      <c r="B1558"/>
      <c r="C1558"/>
    </row>
    <row r="1559" spans="2:3" x14ac:dyDescent="0.3">
      <c r="B1559"/>
      <c r="C1559"/>
    </row>
    <row r="1560" spans="2:3" x14ac:dyDescent="0.3">
      <c r="B1560"/>
      <c r="C1560"/>
    </row>
    <row r="1561" spans="2:3" x14ac:dyDescent="0.3">
      <c r="B1561"/>
      <c r="C1561"/>
    </row>
    <row r="1562" spans="2:3" x14ac:dyDescent="0.3">
      <c r="B1562"/>
      <c r="C1562"/>
    </row>
    <row r="1563" spans="2:3" x14ac:dyDescent="0.3">
      <c r="B1563"/>
      <c r="C1563"/>
    </row>
    <row r="1564" spans="2:3" x14ac:dyDescent="0.3">
      <c r="B1564"/>
      <c r="C1564"/>
    </row>
    <row r="1565" spans="2:3" x14ac:dyDescent="0.3">
      <c r="B1565"/>
      <c r="C1565"/>
    </row>
    <row r="1566" spans="2:3" x14ac:dyDescent="0.3">
      <c r="B1566"/>
      <c r="C1566"/>
    </row>
    <row r="1567" spans="2:3" x14ac:dyDescent="0.3">
      <c r="B1567"/>
      <c r="C1567"/>
    </row>
    <row r="1568" spans="2:3" x14ac:dyDescent="0.3">
      <c r="B1568"/>
      <c r="C1568"/>
    </row>
    <row r="1569" spans="2:3" x14ac:dyDescent="0.3">
      <c r="B1569"/>
      <c r="C1569"/>
    </row>
    <row r="1570" spans="2:3" x14ac:dyDescent="0.3">
      <c r="B1570"/>
      <c r="C1570"/>
    </row>
    <row r="1571" spans="2:3" x14ac:dyDescent="0.3">
      <c r="B1571"/>
      <c r="C1571"/>
    </row>
    <row r="1572" spans="2:3" x14ac:dyDescent="0.3">
      <c r="B1572"/>
      <c r="C1572"/>
    </row>
    <row r="1573" spans="2:3" x14ac:dyDescent="0.3">
      <c r="B1573"/>
      <c r="C1573"/>
    </row>
    <row r="1574" spans="2:3" x14ac:dyDescent="0.3">
      <c r="B1574"/>
      <c r="C1574"/>
    </row>
    <row r="1575" spans="2:3" x14ac:dyDescent="0.3">
      <c r="B1575"/>
      <c r="C1575"/>
    </row>
    <row r="1576" spans="2:3" x14ac:dyDescent="0.3">
      <c r="B1576"/>
      <c r="C1576"/>
    </row>
    <row r="1577" spans="2:3" x14ac:dyDescent="0.3">
      <c r="B1577"/>
      <c r="C1577"/>
    </row>
    <row r="1578" spans="2:3" x14ac:dyDescent="0.3">
      <c r="B1578"/>
      <c r="C1578"/>
    </row>
    <row r="1579" spans="2:3" x14ac:dyDescent="0.3">
      <c r="B1579"/>
      <c r="C1579"/>
    </row>
    <row r="1580" spans="2:3" x14ac:dyDescent="0.3">
      <c r="B1580"/>
      <c r="C1580"/>
    </row>
    <row r="1581" spans="2:3" x14ac:dyDescent="0.3">
      <c r="B1581"/>
      <c r="C1581"/>
    </row>
    <row r="1582" spans="2:3" x14ac:dyDescent="0.3">
      <c r="B1582"/>
      <c r="C1582"/>
    </row>
    <row r="1583" spans="2:3" x14ac:dyDescent="0.3">
      <c r="B1583"/>
      <c r="C1583"/>
    </row>
    <row r="1584" spans="2:3" x14ac:dyDescent="0.3">
      <c r="B1584"/>
      <c r="C1584"/>
    </row>
    <row r="1585" spans="2:3" x14ac:dyDescent="0.3">
      <c r="B1585"/>
      <c r="C1585"/>
    </row>
    <row r="1586" spans="2:3" x14ac:dyDescent="0.3">
      <c r="B1586"/>
      <c r="C1586"/>
    </row>
    <row r="1587" spans="2:3" x14ac:dyDescent="0.3">
      <c r="B1587"/>
      <c r="C1587"/>
    </row>
    <row r="1588" spans="2:3" x14ac:dyDescent="0.3">
      <c r="B1588"/>
      <c r="C1588"/>
    </row>
    <row r="1589" spans="2:3" x14ac:dyDescent="0.3">
      <c r="B1589"/>
      <c r="C1589"/>
    </row>
    <row r="1590" spans="2:3" x14ac:dyDescent="0.3">
      <c r="B1590"/>
      <c r="C1590"/>
    </row>
    <row r="1591" spans="2:3" x14ac:dyDescent="0.3">
      <c r="B1591"/>
      <c r="C1591"/>
    </row>
    <row r="1592" spans="2:3" x14ac:dyDescent="0.3">
      <c r="B1592"/>
      <c r="C1592"/>
    </row>
    <row r="1593" spans="2:3" x14ac:dyDescent="0.3">
      <c r="B1593"/>
      <c r="C1593"/>
    </row>
    <row r="1594" spans="2:3" x14ac:dyDescent="0.3">
      <c r="B1594"/>
      <c r="C1594"/>
    </row>
    <row r="1595" spans="2:3" x14ac:dyDescent="0.3">
      <c r="B1595"/>
      <c r="C1595"/>
    </row>
    <row r="1596" spans="2:3" x14ac:dyDescent="0.3">
      <c r="B1596"/>
      <c r="C1596"/>
    </row>
    <row r="1597" spans="2:3" x14ac:dyDescent="0.3">
      <c r="B1597"/>
      <c r="C1597"/>
    </row>
    <row r="1598" spans="2:3" x14ac:dyDescent="0.3">
      <c r="B1598"/>
      <c r="C1598"/>
    </row>
    <row r="1599" spans="2:3" x14ac:dyDescent="0.3">
      <c r="B1599"/>
      <c r="C1599"/>
    </row>
    <row r="1600" spans="2:3" x14ac:dyDescent="0.3">
      <c r="B1600"/>
      <c r="C1600"/>
    </row>
    <row r="1601" spans="2:3" x14ac:dyDescent="0.3">
      <c r="B1601"/>
      <c r="C1601"/>
    </row>
    <row r="1602" spans="2:3" x14ac:dyDescent="0.3">
      <c r="B1602"/>
      <c r="C1602"/>
    </row>
    <row r="1603" spans="2:3" x14ac:dyDescent="0.3">
      <c r="B1603"/>
      <c r="C1603"/>
    </row>
    <row r="1604" spans="2:3" x14ac:dyDescent="0.3">
      <c r="B1604"/>
      <c r="C1604"/>
    </row>
    <row r="1605" spans="2:3" x14ac:dyDescent="0.3">
      <c r="B1605"/>
      <c r="C1605"/>
    </row>
    <row r="1606" spans="2:3" x14ac:dyDescent="0.3">
      <c r="B1606"/>
      <c r="C1606"/>
    </row>
    <row r="1607" spans="2:3" x14ac:dyDescent="0.3">
      <c r="B1607"/>
      <c r="C1607"/>
    </row>
    <row r="1608" spans="2:3" x14ac:dyDescent="0.3">
      <c r="B1608"/>
      <c r="C1608"/>
    </row>
    <row r="1609" spans="2:3" x14ac:dyDescent="0.3">
      <c r="B1609"/>
      <c r="C1609"/>
    </row>
    <row r="1610" spans="2:3" x14ac:dyDescent="0.3">
      <c r="B1610"/>
      <c r="C1610"/>
    </row>
    <row r="1611" spans="2:3" x14ac:dyDescent="0.3">
      <c r="B1611"/>
      <c r="C1611"/>
    </row>
    <row r="1612" spans="2:3" x14ac:dyDescent="0.3">
      <c r="B1612"/>
      <c r="C1612"/>
    </row>
    <row r="1613" spans="2:3" x14ac:dyDescent="0.3">
      <c r="B1613"/>
      <c r="C1613"/>
    </row>
    <row r="1614" spans="2:3" x14ac:dyDescent="0.3">
      <c r="B1614"/>
      <c r="C1614"/>
    </row>
    <row r="1615" spans="2:3" x14ac:dyDescent="0.3">
      <c r="B1615"/>
      <c r="C1615"/>
    </row>
    <row r="1616" spans="2:3" x14ac:dyDescent="0.3">
      <c r="B1616"/>
      <c r="C1616"/>
    </row>
    <row r="1617" spans="2:3" x14ac:dyDescent="0.3">
      <c r="B1617"/>
      <c r="C1617"/>
    </row>
    <row r="1618" spans="2:3" x14ac:dyDescent="0.3">
      <c r="B1618"/>
      <c r="C1618"/>
    </row>
    <row r="1619" spans="2:3" x14ac:dyDescent="0.3">
      <c r="B1619"/>
      <c r="C1619"/>
    </row>
    <row r="1620" spans="2:3" x14ac:dyDescent="0.3">
      <c r="B1620"/>
      <c r="C1620"/>
    </row>
    <row r="1621" spans="2:3" x14ac:dyDescent="0.3">
      <c r="B1621"/>
      <c r="C1621"/>
    </row>
    <row r="1622" spans="2:3" x14ac:dyDescent="0.3">
      <c r="B1622"/>
      <c r="C1622"/>
    </row>
    <row r="1623" spans="2:3" x14ac:dyDescent="0.3">
      <c r="B1623"/>
      <c r="C1623"/>
    </row>
    <row r="1624" spans="2:3" x14ac:dyDescent="0.3">
      <c r="B1624"/>
      <c r="C1624"/>
    </row>
    <row r="1625" spans="2:3" x14ac:dyDescent="0.3">
      <c r="B1625"/>
      <c r="C1625"/>
    </row>
    <row r="1626" spans="2:3" x14ac:dyDescent="0.3">
      <c r="B1626"/>
      <c r="C1626"/>
    </row>
    <row r="1627" spans="2:3" x14ac:dyDescent="0.3">
      <c r="B1627"/>
      <c r="C1627"/>
    </row>
    <row r="1628" spans="2:3" x14ac:dyDescent="0.3">
      <c r="B1628"/>
      <c r="C1628"/>
    </row>
    <row r="1629" spans="2:3" x14ac:dyDescent="0.3">
      <c r="B1629"/>
      <c r="C1629"/>
    </row>
    <row r="1630" spans="2:3" x14ac:dyDescent="0.3">
      <c r="B1630"/>
      <c r="C1630"/>
    </row>
    <row r="1631" spans="2:3" x14ac:dyDescent="0.3">
      <c r="B1631"/>
      <c r="C1631"/>
    </row>
    <row r="1632" spans="2:3" x14ac:dyDescent="0.3">
      <c r="B1632"/>
      <c r="C1632"/>
    </row>
    <row r="1633" spans="2:3" x14ac:dyDescent="0.3">
      <c r="B1633"/>
      <c r="C1633"/>
    </row>
    <row r="1634" spans="2:3" x14ac:dyDescent="0.3">
      <c r="B1634"/>
      <c r="C1634"/>
    </row>
    <row r="1635" spans="2:3" x14ac:dyDescent="0.3">
      <c r="B1635"/>
      <c r="C1635"/>
    </row>
    <row r="1636" spans="2:3" x14ac:dyDescent="0.3">
      <c r="B1636"/>
      <c r="C1636"/>
    </row>
    <row r="1637" spans="2:3" x14ac:dyDescent="0.3">
      <c r="B1637"/>
      <c r="C1637"/>
    </row>
    <row r="1638" spans="2:3" x14ac:dyDescent="0.3">
      <c r="B1638"/>
      <c r="C1638"/>
    </row>
    <row r="1639" spans="2:3" x14ac:dyDescent="0.3">
      <c r="B1639"/>
      <c r="C1639"/>
    </row>
    <row r="1640" spans="2:3" x14ac:dyDescent="0.3">
      <c r="B1640"/>
      <c r="C1640"/>
    </row>
    <row r="1641" spans="2:3" x14ac:dyDescent="0.3">
      <c r="B1641"/>
      <c r="C1641"/>
    </row>
    <row r="1642" spans="2:3" x14ac:dyDescent="0.3">
      <c r="B1642"/>
      <c r="C1642"/>
    </row>
    <row r="1643" spans="2:3" x14ac:dyDescent="0.3">
      <c r="B1643"/>
      <c r="C1643"/>
    </row>
    <row r="1644" spans="2:3" x14ac:dyDescent="0.3">
      <c r="B1644"/>
      <c r="C1644"/>
    </row>
    <row r="1645" spans="2:3" x14ac:dyDescent="0.3">
      <c r="B1645"/>
      <c r="C1645"/>
    </row>
    <row r="1646" spans="2:3" x14ac:dyDescent="0.3">
      <c r="B1646"/>
      <c r="C1646"/>
    </row>
    <row r="1647" spans="2:3" x14ac:dyDescent="0.3">
      <c r="B1647"/>
      <c r="C1647"/>
    </row>
    <row r="1648" spans="2:3" x14ac:dyDescent="0.3">
      <c r="B1648"/>
      <c r="C1648"/>
    </row>
    <row r="1649" spans="2:3" x14ac:dyDescent="0.3">
      <c r="B1649"/>
      <c r="C1649"/>
    </row>
    <row r="1650" spans="2:3" x14ac:dyDescent="0.3">
      <c r="B1650"/>
      <c r="C1650"/>
    </row>
    <row r="1651" spans="2:3" x14ac:dyDescent="0.3">
      <c r="B1651"/>
      <c r="C1651"/>
    </row>
    <row r="1652" spans="2:3" x14ac:dyDescent="0.3">
      <c r="B1652"/>
      <c r="C1652"/>
    </row>
    <row r="1653" spans="2:3" x14ac:dyDescent="0.3">
      <c r="B1653"/>
      <c r="C1653"/>
    </row>
    <row r="1654" spans="2:3" x14ac:dyDescent="0.3">
      <c r="B1654"/>
      <c r="C1654"/>
    </row>
    <row r="1655" spans="2:3" x14ac:dyDescent="0.3">
      <c r="B1655"/>
      <c r="C1655"/>
    </row>
    <row r="1656" spans="2:3" x14ac:dyDescent="0.3">
      <c r="B1656"/>
      <c r="C1656"/>
    </row>
    <row r="1657" spans="2:3" x14ac:dyDescent="0.3">
      <c r="B1657"/>
      <c r="C1657"/>
    </row>
    <row r="1658" spans="2:3" x14ac:dyDescent="0.3">
      <c r="B1658"/>
      <c r="C1658"/>
    </row>
    <row r="1659" spans="2:3" x14ac:dyDescent="0.3">
      <c r="B1659"/>
      <c r="C1659"/>
    </row>
    <row r="1660" spans="2:3" x14ac:dyDescent="0.3">
      <c r="B1660"/>
      <c r="C1660"/>
    </row>
    <row r="1661" spans="2:3" x14ac:dyDescent="0.3">
      <c r="B1661"/>
      <c r="C1661"/>
    </row>
    <row r="1662" spans="2:3" x14ac:dyDescent="0.3">
      <c r="B1662"/>
      <c r="C1662"/>
    </row>
    <row r="1663" spans="2:3" x14ac:dyDescent="0.3">
      <c r="B1663"/>
      <c r="C1663"/>
    </row>
    <row r="1664" spans="2:3" x14ac:dyDescent="0.3">
      <c r="B1664"/>
      <c r="C1664"/>
    </row>
    <row r="1665" spans="2:3" x14ac:dyDescent="0.3">
      <c r="B1665"/>
      <c r="C1665"/>
    </row>
    <row r="1666" spans="2:3" x14ac:dyDescent="0.3">
      <c r="B1666"/>
      <c r="C1666"/>
    </row>
    <row r="1667" spans="2:3" x14ac:dyDescent="0.3">
      <c r="B1667"/>
      <c r="C1667"/>
    </row>
    <row r="1668" spans="2:3" x14ac:dyDescent="0.3">
      <c r="B1668"/>
      <c r="C1668"/>
    </row>
    <row r="1669" spans="2:3" x14ac:dyDescent="0.3">
      <c r="B1669"/>
      <c r="C1669"/>
    </row>
    <row r="1670" spans="2:3" x14ac:dyDescent="0.3">
      <c r="B1670"/>
      <c r="C1670"/>
    </row>
    <row r="1671" spans="2:3" x14ac:dyDescent="0.3">
      <c r="B1671"/>
      <c r="C1671"/>
    </row>
    <row r="1672" spans="2:3" x14ac:dyDescent="0.3">
      <c r="B1672"/>
      <c r="C1672"/>
    </row>
    <row r="1673" spans="2:3" x14ac:dyDescent="0.3">
      <c r="B1673"/>
      <c r="C1673"/>
    </row>
    <row r="1674" spans="2:3" x14ac:dyDescent="0.3">
      <c r="B1674"/>
      <c r="C1674"/>
    </row>
    <row r="1675" spans="2:3" x14ac:dyDescent="0.3">
      <c r="B1675"/>
      <c r="C1675"/>
    </row>
    <row r="1676" spans="2:3" x14ac:dyDescent="0.3">
      <c r="B1676"/>
      <c r="C1676"/>
    </row>
    <row r="1677" spans="2:3" x14ac:dyDescent="0.3">
      <c r="B1677"/>
      <c r="C1677"/>
    </row>
    <row r="1678" spans="2:3" x14ac:dyDescent="0.3">
      <c r="B1678"/>
      <c r="C1678"/>
    </row>
    <row r="1679" spans="2:3" x14ac:dyDescent="0.3">
      <c r="B1679"/>
      <c r="C1679"/>
    </row>
    <row r="1680" spans="2:3" x14ac:dyDescent="0.3">
      <c r="B1680"/>
      <c r="C1680"/>
    </row>
    <row r="1681" spans="2:3" x14ac:dyDescent="0.3">
      <c r="B1681"/>
      <c r="C1681"/>
    </row>
    <row r="1682" spans="2:3" x14ac:dyDescent="0.3">
      <c r="B1682"/>
      <c r="C1682"/>
    </row>
    <row r="1683" spans="2:3" x14ac:dyDescent="0.3">
      <c r="B1683"/>
      <c r="C1683"/>
    </row>
    <row r="1684" spans="2:3" x14ac:dyDescent="0.3">
      <c r="B1684"/>
      <c r="C1684"/>
    </row>
    <row r="1685" spans="2:3" x14ac:dyDescent="0.3">
      <c r="B1685"/>
      <c r="C1685"/>
    </row>
    <row r="1686" spans="2:3" x14ac:dyDescent="0.3">
      <c r="B1686"/>
      <c r="C1686"/>
    </row>
    <row r="1687" spans="2:3" x14ac:dyDescent="0.3">
      <c r="B1687"/>
      <c r="C1687"/>
    </row>
    <row r="1688" spans="2:3" x14ac:dyDescent="0.3">
      <c r="B1688"/>
      <c r="C1688"/>
    </row>
    <row r="1689" spans="2:3" x14ac:dyDescent="0.3">
      <c r="B1689"/>
      <c r="C1689"/>
    </row>
    <row r="1690" spans="2:3" x14ac:dyDescent="0.3">
      <c r="B1690"/>
      <c r="C1690"/>
    </row>
    <row r="1691" spans="2:3" x14ac:dyDescent="0.3">
      <c r="B1691"/>
      <c r="C1691"/>
    </row>
    <row r="1692" spans="2:3" x14ac:dyDescent="0.3">
      <c r="B1692"/>
      <c r="C1692"/>
    </row>
    <row r="1693" spans="2:3" x14ac:dyDescent="0.3">
      <c r="B1693"/>
      <c r="C1693"/>
    </row>
    <row r="1694" spans="2:3" x14ac:dyDescent="0.3">
      <c r="B1694"/>
      <c r="C1694"/>
    </row>
    <row r="1695" spans="2:3" x14ac:dyDescent="0.3">
      <c r="B1695"/>
      <c r="C1695"/>
    </row>
    <row r="1696" spans="2:3" x14ac:dyDescent="0.3">
      <c r="B1696"/>
      <c r="C1696"/>
    </row>
    <row r="1697" spans="2:3" x14ac:dyDescent="0.3">
      <c r="B1697"/>
      <c r="C1697"/>
    </row>
    <row r="1698" spans="2:3" x14ac:dyDescent="0.3">
      <c r="B1698"/>
      <c r="C1698"/>
    </row>
    <row r="1699" spans="2:3" x14ac:dyDescent="0.3">
      <c r="B1699"/>
      <c r="C1699"/>
    </row>
    <row r="1700" spans="2:3" x14ac:dyDescent="0.3">
      <c r="B1700"/>
      <c r="C1700"/>
    </row>
    <row r="1701" spans="2:3" x14ac:dyDescent="0.3">
      <c r="B1701"/>
      <c r="C1701"/>
    </row>
    <row r="1702" spans="2:3" x14ac:dyDescent="0.3">
      <c r="B1702"/>
      <c r="C1702"/>
    </row>
    <row r="1703" spans="2:3" x14ac:dyDescent="0.3">
      <c r="B1703"/>
      <c r="C1703"/>
    </row>
    <row r="1704" spans="2:3" x14ac:dyDescent="0.3">
      <c r="B1704"/>
      <c r="C1704"/>
    </row>
    <row r="1705" spans="2:3" x14ac:dyDescent="0.3">
      <c r="B1705"/>
      <c r="C1705"/>
    </row>
    <row r="1706" spans="2:3" x14ac:dyDescent="0.3">
      <c r="B1706"/>
      <c r="C1706"/>
    </row>
    <row r="1707" spans="2:3" x14ac:dyDescent="0.3">
      <c r="B1707"/>
      <c r="C1707"/>
    </row>
    <row r="1708" spans="2:3" x14ac:dyDescent="0.3">
      <c r="B1708"/>
      <c r="C1708"/>
    </row>
    <row r="1709" spans="2:3" x14ac:dyDescent="0.3">
      <c r="B1709"/>
      <c r="C1709"/>
    </row>
    <row r="1710" spans="2:3" x14ac:dyDescent="0.3">
      <c r="B1710"/>
      <c r="C1710"/>
    </row>
    <row r="1711" spans="2:3" x14ac:dyDescent="0.3">
      <c r="B1711"/>
      <c r="C1711"/>
    </row>
    <row r="1712" spans="2:3" x14ac:dyDescent="0.3">
      <c r="B1712"/>
      <c r="C1712"/>
    </row>
    <row r="1713" spans="2:3" x14ac:dyDescent="0.3">
      <c r="B1713"/>
      <c r="C1713"/>
    </row>
    <row r="1714" spans="2:3" x14ac:dyDescent="0.3">
      <c r="B1714"/>
      <c r="C1714"/>
    </row>
    <row r="1715" spans="2:3" x14ac:dyDescent="0.3">
      <c r="B1715"/>
      <c r="C1715"/>
    </row>
    <row r="1716" spans="2:3" x14ac:dyDescent="0.3">
      <c r="B1716"/>
      <c r="C1716"/>
    </row>
    <row r="1717" spans="2:3" x14ac:dyDescent="0.3">
      <c r="B1717"/>
      <c r="C1717"/>
    </row>
    <row r="1718" spans="2:3" x14ac:dyDescent="0.3">
      <c r="B1718"/>
      <c r="C1718"/>
    </row>
    <row r="1719" spans="2:3" x14ac:dyDescent="0.3">
      <c r="B1719"/>
      <c r="C1719"/>
    </row>
    <row r="1720" spans="2:3" x14ac:dyDescent="0.3">
      <c r="B1720"/>
      <c r="C1720"/>
    </row>
    <row r="1721" spans="2:3" x14ac:dyDescent="0.3">
      <c r="B1721"/>
      <c r="C1721"/>
    </row>
    <row r="1722" spans="2:3" x14ac:dyDescent="0.3">
      <c r="B1722"/>
      <c r="C1722"/>
    </row>
    <row r="1723" spans="2:3" x14ac:dyDescent="0.3">
      <c r="B1723"/>
      <c r="C1723"/>
    </row>
    <row r="1724" spans="2:3" x14ac:dyDescent="0.3">
      <c r="B1724"/>
      <c r="C1724"/>
    </row>
    <row r="1725" spans="2:3" x14ac:dyDescent="0.3">
      <c r="B1725"/>
      <c r="C1725"/>
    </row>
    <row r="1726" spans="2:3" x14ac:dyDescent="0.3">
      <c r="B1726"/>
      <c r="C1726"/>
    </row>
    <row r="1727" spans="2:3" x14ac:dyDescent="0.3">
      <c r="B1727"/>
      <c r="C1727"/>
    </row>
    <row r="1728" spans="2:3" x14ac:dyDescent="0.3">
      <c r="B1728"/>
      <c r="C1728"/>
    </row>
    <row r="1729" spans="2:3" x14ac:dyDescent="0.3">
      <c r="B1729"/>
      <c r="C1729"/>
    </row>
    <row r="1730" spans="2:3" x14ac:dyDescent="0.3">
      <c r="B1730"/>
      <c r="C1730"/>
    </row>
    <row r="1731" spans="2:3" x14ac:dyDescent="0.3">
      <c r="B1731"/>
      <c r="C1731"/>
    </row>
    <row r="1732" spans="2:3" x14ac:dyDescent="0.3">
      <c r="B1732"/>
      <c r="C1732"/>
    </row>
    <row r="1733" spans="2:3" x14ac:dyDescent="0.3">
      <c r="B1733"/>
      <c r="C1733"/>
    </row>
    <row r="1734" spans="2:3" x14ac:dyDescent="0.3">
      <c r="B1734"/>
      <c r="C1734"/>
    </row>
    <row r="1735" spans="2:3" x14ac:dyDescent="0.3">
      <c r="B1735"/>
      <c r="C1735"/>
    </row>
    <row r="1736" spans="2:3" x14ac:dyDescent="0.3">
      <c r="B1736"/>
      <c r="C1736"/>
    </row>
    <row r="1737" spans="2:3" x14ac:dyDescent="0.3">
      <c r="B1737"/>
      <c r="C1737"/>
    </row>
    <row r="1738" spans="2:3" x14ac:dyDescent="0.3">
      <c r="B1738"/>
      <c r="C1738"/>
    </row>
    <row r="1739" spans="2:3" x14ac:dyDescent="0.3">
      <c r="B1739"/>
      <c r="C1739"/>
    </row>
    <row r="1740" spans="2:3" x14ac:dyDescent="0.3">
      <c r="B1740"/>
      <c r="C1740"/>
    </row>
    <row r="1741" spans="2:3" x14ac:dyDescent="0.3">
      <c r="B1741"/>
      <c r="C1741"/>
    </row>
    <row r="1742" spans="2:3" x14ac:dyDescent="0.3">
      <c r="B1742"/>
      <c r="C1742"/>
    </row>
    <row r="1743" spans="2:3" x14ac:dyDescent="0.3">
      <c r="B1743"/>
      <c r="C1743"/>
    </row>
    <row r="1744" spans="2:3" x14ac:dyDescent="0.3">
      <c r="B1744"/>
      <c r="C1744"/>
    </row>
    <row r="1745" spans="2:3" x14ac:dyDescent="0.3">
      <c r="B1745"/>
      <c r="C1745"/>
    </row>
    <row r="1746" spans="2:3" x14ac:dyDescent="0.3">
      <c r="B1746"/>
      <c r="C1746"/>
    </row>
    <row r="1747" spans="2:3" x14ac:dyDescent="0.3">
      <c r="B1747"/>
      <c r="C1747"/>
    </row>
    <row r="1748" spans="2:3" x14ac:dyDescent="0.3">
      <c r="B1748"/>
      <c r="C1748"/>
    </row>
    <row r="1749" spans="2:3" x14ac:dyDescent="0.3">
      <c r="B1749"/>
      <c r="C1749"/>
    </row>
    <row r="1750" spans="2:3" x14ac:dyDescent="0.3">
      <c r="B1750"/>
      <c r="C1750"/>
    </row>
    <row r="1751" spans="2:3" x14ac:dyDescent="0.3">
      <c r="B1751"/>
      <c r="C1751"/>
    </row>
    <row r="1752" spans="2:3" x14ac:dyDescent="0.3">
      <c r="B1752"/>
      <c r="C1752"/>
    </row>
    <row r="1753" spans="2:3" x14ac:dyDescent="0.3">
      <c r="B1753"/>
      <c r="C1753"/>
    </row>
    <row r="1754" spans="2:3" x14ac:dyDescent="0.3">
      <c r="B1754"/>
      <c r="C1754"/>
    </row>
    <row r="1755" spans="2:3" x14ac:dyDescent="0.3">
      <c r="B1755"/>
      <c r="C1755"/>
    </row>
    <row r="1756" spans="2:3" x14ac:dyDescent="0.3">
      <c r="B1756"/>
      <c r="C1756"/>
    </row>
    <row r="1757" spans="2:3" x14ac:dyDescent="0.3">
      <c r="B1757"/>
      <c r="C1757"/>
    </row>
    <row r="1758" spans="2:3" x14ac:dyDescent="0.3">
      <c r="B1758"/>
      <c r="C1758"/>
    </row>
    <row r="1759" spans="2:3" x14ac:dyDescent="0.3">
      <c r="B1759"/>
      <c r="C1759"/>
    </row>
    <row r="1760" spans="2:3" x14ac:dyDescent="0.3">
      <c r="B1760"/>
      <c r="C1760"/>
    </row>
    <row r="1761" spans="2:3" x14ac:dyDescent="0.3">
      <c r="B1761"/>
      <c r="C1761"/>
    </row>
    <row r="1762" spans="2:3" x14ac:dyDescent="0.3">
      <c r="B1762"/>
      <c r="C1762"/>
    </row>
    <row r="1763" spans="2:3" x14ac:dyDescent="0.3">
      <c r="B1763"/>
      <c r="C1763"/>
    </row>
    <row r="1764" spans="2:3" x14ac:dyDescent="0.3">
      <c r="B1764"/>
      <c r="C1764"/>
    </row>
    <row r="1765" spans="2:3" x14ac:dyDescent="0.3">
      <c r="B1765"/>
      <c r="C1765"/>
    </row>
    <row r="1766" spans="2:3" x14ac:dyDescent="0.3">
      <c r="B1766"/>
      <c r="C1766"/>
    </row>
    <row r="1767" spans="2:3" x14ac:dyDescent="0.3">
      <c r="B1767"/>
      <c r="C1767"/>
    </row>
    <row r="1768" spans="2:3" x14ac:dyDescent="0.3">
      <c r="B1768"/>
      <c r="C1768"/>
    </row>
    <row r="1769" spans="2:3" x14ac:dyDescent="0.3">
      <c r="B1769"/>
      <c r="C1769"/>
    </row>
    <row r="1770" spans="2:3" x14ac:dyDescent="0.3">
      <c r="B1770"/>
      <c r="C1770"/>
    </row>
    <row r="1771" spans="2:3" x14ac:dyDescent="0.3">
      <c r="B1771"/>
      <c r="C1771"/>
    </row>
    <row r="1772" spans="2:3" x14ac:dyDescent="0.3">
      <c r="B1772"/>
      <c r="C1772"/>
    </row>
    <row r="1773" spans="2:3" x14ac:dyDescent="0.3">
      <c r="B1773"/>
      <c r="C1773"/>
    </row>
    <row r="1774" spans="2:3" x14ac:dyDescent="0.3">
      <c r="B1774"/>
      <c r="C1774"/>
    </row>
    <row r="1775" spans="2:3" x14ac:dyDescent="0.3">
      <c r="B1775"/>
      <c r="C1775"/>
    </row>
    <row r="1776" spans="2:3" x14ac:dyDescent="0.3">
      <c r="B1776"/>
      <c r="C1776"/>
    </row>
    <row r="1777" spans="2:3" x14ac:dyDescent="0.3">
      <c r="B1777"/>
      <c r="C1777"/>
    </row>
    <row r="1778" spans="2:3" x14ac:dyDescent="0.3">
      <c r="B1778"/>
      <c r="C1778"/>
    </row>
    <row r="1779" spans="2:3" x14ac:dyDescent="0.3">
      <c r="B1779"/>
      <c r="C1779"/>
    </row>
    <row r="1780" spans="2:3" x14ac:dyDescent="0.3">
      <c r="B1780"/>
      <c r="C1780"/>
    </row>
    <row r="1781" spans="2:3" x14ac:dyDescent="0.3">
      <c r="B1781"/>
      <c r="C1781"/>
    </row>
    <row r="1782" spans="2:3" x14ac:dyDescent="0.3">
      <c r="B1782"/>
      <c r="C1782"/>
    </row>
    <row r="1783" spans="2:3" x14ac:dyDescent="0.3">
      <c r="B1783"/>
      <c r="C1783"/>
    </row>
    <row r="1784" spans="2:3" x14ac:dyDescent="0.3">
      <c r="B1784"/>
      <c r="C1784"/>
    </row>
    <row r="1785" spans="2:3" x14ac:dyDescent="0.3">
      <c r="B1785"/>
      <c r="C1785"/>
    </row>
    <row r="1786" spans="2:3" x14ac:dyDescent="0.3">
      <c r="B1786"/>
      <c r="C1786"/>
    </row>
    <row r="1787" spans="2:3" x14ac:dyDescent="0.3">
      <c r="B1787"/>
      <c r="C1787"/>
    </row>
    <row r="1788" spans="2:3" x14ac:dyDescent="0.3">
      <c r="B1788"/>
      <c r="C1788"/>
    </row>
    <row r="1789" spans="2:3" x14ac:dyDescent="0.3">
      <c r="B1789"/>
      <c r="C1789"/>
    </row>
    <row r="1790" spans="2:3" x14ac:dyDescent="0.3">
      <c r="B1790"/>
      <c r="C1790"/>
    </row>
    <row r="1791" spans="2:3" x14ac:dyDescent="0.3">
      <c r="B1791"/>
      <c r="C1791"/>
    </row>
    <row r="1792" spans="2:3" x14ac:dyDescent="0.3">
      <c r="B1792"/>
      <c r="C1792"/>
    </row>
    <row r="1793" spans="2:3" x14ac:dyDescent="0.3">
      <c r="B1793"/>
      <c r="C1793"/>
    </row>
    <row r="1794" spans="2:3" x14ac:dyDescent="0.3">
      <c r="B1794"/>
      <c r="C1794"/>
    </row>
    <row r="1795" spans="2:3" x14ac:dyDescent="0.3">
      <c r="B1795"/>
      <c r="C1795"/>
    </row>
    <row r="1796" spans="2:3" x14ac:dyDescent="0.3">
      <c r="B1796"/>
      <c r="C1796"/>
    </row>
    <row r="1797" spans="2:3" x14ac:dyDescent="0.3">
      <c r="B1797"/>
      <c r="C1797"/>
    </row>
    <row r="1798" spans="2:3" x14ac:dyDescent="0.3">
      <c r="B1798"/>
      <c r="C1798"/>
    </row>
    <row r="1799" spans="2:3" x14ac:dyDescent="0.3">
      <c r="B1799"/>
      <c r="C1799"/>
    </row>
    <row r="1800" spans="2:3" x14ac:dyDescent="0.3">
      <c r="B1800"/>
      <c r="C1800"/>
    </row>
    <row r="1801" spans="2:3" x14ac:dyDescent="0.3">
      <c r="B1801"/>
      <c r="C1801"/>
    </row>
    <row r="1802" spans="2:3" x14ac:dyDescent="0.3">
      <c r="B1802"/>
      <c r="C1802"/>
    </row>
    <row r="1803" spans="2:3" x14ac:dyDescent="0.3">
      <c r="B1803"/>
      <c r="C1803"/>
    </row>
    <row r="1804" spans="2:3" x14ac:dyDescent="0.3">
      <c r="B1804"/>
      <c r="C1804"/>
    </row>
    <row r="1805" spans="2:3" x14ac:dyDescent="0.3">
      <c r="B1805"/>
      <c r="C1805"/>
    </row>
    <row r="1806" spans="2:3" x14ac:dyDescent="0.3">
      <c r="B1806"/>
      <c r="C1806"/>
    </row>
    <row r="1807" spans="2:3" x14ac:dyDescent="0.3">
      <c r="B1807"/>
      <c r="C1807"/>
    </row>
    <row r="1808" spans="2:3" x14ac:dyDescent="0.3">
      <c r="B1808"/>
      <c r="C1808"/>
    </row>
    <row r="1809" spans="2:3" x14ac:dyDescent="0.3">
      <c r="B1809"/>
      <c r="C1809"/>
    </row>
    <row r="1810" spans="2:3" x14ac:dyDescent="0.3">
      <c r="B1810"/>
      <c r="C1810"/>
    </row>
    <row r="1811" spans="2:3" x14ac:dyDescent="0.3">
      <c r="B1811"/>
      <c r="C1811"/>
    </row>
    <row r="1812" spans="2:3" x14ac:dyDescent="0.3">
      <c r="B1812"/>
      <c r="C1812"/>
    </row>
    <row r="1813" spans="2:3" x14ac:dyDescent="0.3">
      <c r="B1813"/>
      <c r="C1813"/>
    </row>
    <row r="1814" spans="2:3" x14ac:dyDescent="0.3">
      <c r="B1814"/>
      <c r="C1814"/>
    </row>
    <row r="1815" spans="2:3" x14ac:dyDescent="0.3">
      <c r="B1815"/>
      <c r="C1815"/>
    </row>
    <row r="1816" spans="2:3" x14ac:dyDescent="0.3">
      <c r="B1816"/>
      <c r="C1816"/>
    </row>
    <row r="1817" spans="2:3" x14ac:dyDescent="0.3">
      <c r="B1817"/>
      <c r="C1817"/>
    </row>
    <row r="1818" spans="2:3" x14ac:dyDescent="0.3">
      <c r="B1818"/>
      <c r="C1818"/>
    </row>
    <row r="1819" spans="2:3" x14ac:dyDescent="0.3">
      <c r="B1819"/>
      <c r="C1819"/>
    </row>
    <row r="1820" spans="2:3" x14ac:dyDescent="0.3">
      <c r="B1820"/>
      <c r="C1820"/>
    </row>
    <row r="1821" spans="2:3" x14ac:dyDescent="0.3">
      <c r="B1821"/>
      <c r="C1821"/>
    </row>
    <row r="1822" spans="2:3" x14ac:dyDescent="0.3">
      <c r="B1822"/>
      <c r="C1822"/>
    </row>
    <row r="1823" spans="2:3" x14ac:dyDescent="0.3">
      <c r="B1823"/>
      <c r="C1823"/>
    </row>
    <row r="1824" spans="2:3" x14ac:dyDescent="0.3">
      <c r="B1824"/>
      <c r="C1824"/>
    </row>
    <row r="1825" spans="2:3" x14ac:dyDescent="0.3">
      <c r="B1825"/>
      <c r="C1825"/>
    </row>
    <row r="1826" spans="2:3" x14ac:dyDescent="0.3">
      <c r="B1826"/>
      <c r="C1826"/>
    </row>
    <row r="1827" spans="2:3" x14ac:dyDescent="0.3">
      <c r="B1827"/>
      <c r="C1827"/>
    </row>
    <row r="1828" spans="2:3" x14ac:dyDescent="0.3">
      <c r="B1828"/>
      <c r="C1828"/>
    </row>
    <row r="1829" spans="2:3" x14ac:dyDescent="0.3">
      <c r="B1829"/>
      <c r="C1829"/>
    </row>
    <row r="1830" spans="2:3" x14ac:dyDescent="0.3">
      <c r="B1830"/>
      <c r="C1830"/>
    </row>
    <row r="1831" spans="2:3" x14ac:dyDescent="0.3">
      <c r="B1831"/>
      <c r="C1831"/>
    </row>
    <row r="1832" spans="2:3" x14ac:dyDescent="0.3">
      <c r="B1832"/>
      <c r="C1832"/>
    </row>
    <row r="1833" spans="2:3" x14ac:dyDescent="0.3">
      <c r="B1833"/>
      <c r="C1833"/>
    </row>
    <row r="1834" spans="2:3" x14ac:dyDescent="0.3">
      <c r="B1834"/>
      <c r="C1834"/>
    </row>
    <row r="1835" spans="2:3" x14ac:dyDescent="0.3">
      <c r="B1835"/>
      <c r="C1835"/>
    </row>
    <row r="1836" spans="2:3" x14ac:dyDescent="0.3">
      <c r="B1836"/>
      <c r="C1836"/>
    </row>
    <row r="1837" spans="2:3" x14ac:dyDescent="0.3">
      <c r="B1837"/>
      <c r="C1837"/>
    </row>
    <row r="1838" spans="2:3" x14ac:dyDescent="0.3">
      <c r="B1838"/>
      <c r="C1838"/>
    </row>
    <row r="1839" spans="2:3" x14ac:dyDescent="0.3">
      <c r="B1839"/>
      <c r="C1839"/>
    </row>
    <row r="1840" spans="2:3" x14ac:dyDescent="0.3">
      <c r="B1840"/>
      <c r="C1840"/>
    </row>
    <row r="1841" spans="2:3" x14ac:dyDescent="0.3">
      <c r="B1841"/>
      <c r="C1841"/>
    </row>
    <row r="1842" spans="2:3" x14ac:dyDescent="0.3">
      <c r="B1842"/>
      <c r="C1842"/>
    </row>
    <row r="1843" spans="2:3" x14ac:dyDescent="0.3">
      <c r="B1843"/>
      <c r="C1843"/>
    </row>
    <row r="1844" spans="2:3" x14ac:dyDescent="0.3">
      <c r="B1844"/>
      <c r="C1844"/>
    </row>
    <row r="1845" spans="2:3" x14ac:dyDescent="0.3">
      <c r="B1845"/>
      <c r="C1845"/>
    </row>
    <row r="1846" spans="2:3" x14ac:dyDescent="0.3">
      <c r="B1846"/>
      <c r="C1846"/>
    </row>
    <row r="1847" spans="2:3" x14ac:dyDescent="0.3">
      <c r="B1847"/>
      <c r="C1847"/>
    </row>
    <row r="1848" spans="2:3" x14ac:dyDescent="0.3">
      <c r="B1848"/>
      <c r="C1848"/>
    </row>
    <row r="1849" spans="2:3" x14ac:dyDescent="0.3">
      <c r="B1849"/>
      <c r="C1849"/>
    </row>
    <row r="1850" spans="2:3" x14ac:dyDescent="0.3">
      <c r="B1850"/>
      <c r="C1850"/>
    </row>
    <row r="1851" spans="2:3" x14ac:dyDescent="0.3">
      <c r="B1851"/>
      <c r="C1851"/>
    </row>
    <row r="1852" spans="2:3" x14ac:dyDescent="0.3">
      <c r="B1852"/>
      <c r="C1852"/>
    </row>
    <row r="1853" spans="2:3" x14ac:dyDescent="0.3">
      <c r="B1853"/>
      <c r="C1853"/>
    </row>
    <row r="1854" spans="2:3" x14ac:dyDescent="0.3">
      <c r="B1854"/>
      <c r="C1854"/>
    </row>
    <row r="1855" spans="2:3" x14ac:dyDescent="0.3">
      <c r="B1855"/>
      <c r="C1855"/>
    </row>
    <row r="1856" spans="2:3" x14ac:dyDescent="0.3">
      <c r="B1856"/>
      <c r="C1856"/>
    </row>
    <row r="1857" spans="2:3" x14ac:dyDescent="0.3">
      <c r="B1857"/>
      <c r="C1857"/>
    </row>
    <row r="1858" spans="2:3" x14ac:dyDescent="0.3">
      <c r="B1858"/>
      <c r="C1858"/>
    </row>
    <row r="1859" spans="2:3" x14ac:dyDescent="0.3">
      <c r="B1859"/>
      <c r="C1859"/>
    </row>
    <row r="1860" spans="2:3" x14ac:dyDescent="0.3">
      <c r="B1860"/>
      <c r="C1860"/>
    </row>
    <row r="1861" spans="2:3" x14ac:dyDescent="0.3">
      <c r="B1861"/>
      <c r="C1861"/>
    </row>
    <row r="1862" spans="2:3" x14ac:dyDescent="0.3">
      <c r="B1862"/>
      <c r="C1862"/>
    </row>
    <row r="1863" spans="2:3" x14ac:dyDescent="0.3">
      <c r="B1863"/>
      <c r="C1863"/>
    </row>
    <row r="1864" spans="2:3" x14ac:dyDescent="0.3">
      <c r="B1864"/>
      <c r="C1864"/>
    </row>
    <row r="1865" spans="2:3" x14ac:dyDescent="0.3">
      <c r="B1865"/>
      <c r="C1865"/>
    </row>
    <row r="1866" spans="2:3" x14ac:dyDescent="0.3">
      <c r="B1866"/>
      <c r="C1866"/>
    </row>
    <row r="1867" spans="2:3" x14ac:dyDescent="0.3">
      <c r="B1867"/>
      <c r="C1867"/>
    </row>
  </sheetData>
  <mergeCells count="2">
    <mergeCell ref="B1:D1"/>
    <mergeCell ref="B13:E13"/>
  </mergeCells>
  <pageMargins left="0.7" right="0.7" top="0.75" bottom="0.75" header="0.3" footer="0.3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02ECD-D36A-4372-93C5-D1E4493DF107}">
  <dimension ref="A1:K12"/>
  <sheetViews>
    <sheetView zoomScaleNormal="100" workbookViewId="0">
      <selection activeCell="J20" sqref="J20"/>
    </sheetView>
  </sheetViews>
  <sheetFormatPr defaultRowHeight="14.4" x14ac:dyDescent="0.3"/>
  <cols>
    <col min="1" max="1" width="17.33203125" customWidth="1"/>
    <col min="2" max="2" width="14.109375" customWidth="1"/>
    <col min="3" max="3" width="18.33203125" customWidth="1"/>
    <col min="4" max="4" width="21.109375" customWidth="1"/>
    <col min="8" max="8" width="17.33203125" customWidth="1"/>
    <col min="9" max="9" width="14.33203125" customWidth="1"/>
    <col min="10" max="10" width="14.44140625" customWidth="1"/>
    <col min="11" max="11" width="17.109375" customWidth="1"/>
    <col min="12" max="12" width="13.88671875" customWidth="1"/>
  </cols>
  <sheetData>
    <row r="1" spans="1:11" x14ac:dyDescent="0.3">
      <c r="A1" s="98" t="s">
        <v>653</v>
      </c>
      <c r="B1" s="98"/>
      <c r="C1" s="98"/>
      <c r="H1" s="101" t="s">
        <v>680</v>
      </c>
      <c r="I1" s="101"/>
      <c r="J1" s="101"/>
    </row>
    <row r="3" spans="1:11" x14ac:dyDescent="0.3">
      <c r="A3" s="37" t="s">
        <v>12</v>
      </c>
      <c r="B3" s="38" t="s">
        <v>594</v>
      </c>
      <c r="C3" s="79" t="s">
        <v>654</v>
      </c>
      <c r="D3" s="46" t="s">
        <v>655</v>
      </c>
      <c r="H3" s="76" t="s">
        <v>12</v>
      </c>
      <c r="I3" s="70" t="s">
        <v>591</v>
      </c>
      <c r="J3" s="70" t="s">
        <v>592</v>
      </c>
      <c r="K3" s="69" t="s">
        <v>681</v>
      </c>
    </row>
    <row r="4" spans="1:11" x14ac:dyDescent="0.3">
      <c r="A4" s="35" t="s">
        <v>19</v>
      </c>
      <c r="B4" s="31">
        <v>150000</v>
      </c>
      <c r="C4" s="31">
        <f>SUMIF(Posts_2[Campaign_Name],Table3[[#This Row],[Campaign_Name]],Posts_2[Engagement])</f>
        <v>193900</v>
      </c>
      <c r="D4" s="52">
        <f>C4/B4</f>
        <v>1.2926666666666666</v>
      </c>
      <c r="H4" s="77" t="s">
        <v>19</v>
      </c>
      <c r="I4" s="75" t="s">
        <v>597</v>
      </c>
      <c r="J4" s="75" t="s">
        <v>315</v>
      </c>
      <c r="K4">
        <f>SUMIFS(Table5_2[Follower_Gain],Table5_2[Week_Start_Date],"&gt;="&amp;Task5.2!I4,Table5_2[Week_Start_Date],"&lt;="&amp;Task5.2!J4)</f>
        <v>13523</v>
      </c>
    </row>
    <row r="5" spans="1:11" x14ac:dyDescent="0.3">
      <c r="A5" s="35" t="s">
        <v>25</v>
      </c>
      <c r="B5" s="31">
        <v>200000</v>
      </c>
      <c r="C5" s="33">
        <f>SUMIF(Posts_2[Campaign_Name],Table3[[#This Row],[Campaign_Name]],Posts_2[Engagement])</f>
        <v>233721</v>
      </c>
      <c r="D5" s="52">
        <f t="shared" ref="D5:D7" si="0">C5/B5</f>
        <v>1.1686049999999999</v>
      </c>
      <c r="H5" s="77" t="s">
        <v>25</v>
      </c>
      <c r="I5" s="74" t="s">
        <v>600</v>
      </c>
      <c r="J5" s="74" t="s">
        <v>44</v>
      </c>
      <c r="K5">
        <f>SUMIFS(Table5_2[Follower_Gain],Table5_2[Week_Start_Date],"&gt;="&amp;Task5.2!I5,Table5_2[Week_Start_Date],"&lt;="&amp;Task5.2!J5)</f>
        <v>11092</v>
      </c>
    </row>
    <row r="6" spans="1:11" x14ac:dyDescent="0.3">
      <c r="A6" s="35" t="s">
        <v>31</v>
      </c>
      <c r="B6" s="31">
        <v>250000</v>
      </c>
      <c r="C6" s="33">
        <f>SUMIF(Posts_2[Campaign_Name],Table3[[#This Row],[Campaign_Name]],Posts_2[Engagement])</f>
        <v>257608</v>
      </c>
      <c r="D6" s="52">
        <f t="shared" si="0"/>
        <v>1.030432</v>
      </c>
      <c r="H6" s="77" t="s">
        <v>31</v>
      </c>
      <c r="I6" s="74" t="s">
        <v>604</v>
      </c>
      <c r="J6" s="74" t="s">
        <v>230</v>
      </c>
      <c r="K6">
        <f>SUMIFS(Table5_2[Follower_Gain],Table5_2[Week_Start_Date],"&gt;="&amp;Task5.2!I6,Table5_2[Week_Start_Date],"&lt;="&amp;Task5.2!J6)</f>
        <v>10087</v>
      </c>
    </row>
    <row r="7" spans="1:11" x14ac:dyDescent="0.3">
      <c r="A7" s="41" t="s">
        <v>38</v>
      </c>
      <c r="B7" s="48">
        <v>180000</v>
      </c>
      <c r="C7" s="33">
        <f>SUMIF(Posts_2[Campaign_Name],Table3[[#This Row],[Campaign_Name]],Posts_2[Engagement])</f>
        <v>278843</v>
      </c>
      <c r="D7" s="53">
        <f t="shared" si="0"/>
        <v>1.5491277777777779</v>
      </c>
      <c r="H7" s="95" t="s">
        <v>38</v>
      </c>
      <c r="I7" s="74" t="s">
        <v>608</v>
      </c>
      <c r="J7" s="74" t="s">
        <v>588</v>
      </c>
      <c r="K7">
        <f>SUMIFS(Table5_2[Follower_Gain],Table5_2[Week_Start_Date],"&gt;="&amp;Task5.2!I7,Table5_2[Week_Start_Date],"&lt;="&amp;Task5.2!J7)</f>
        <v>16078</v>
      </c>
    </row>
    <row r="9" spans="1:11" ht="15.6" x14ac:dyDescent="0.3">
      <c r="A9" s="50" t="s">
        <v>656</v>
      </c>
      <c r="H9" s="78" t="s">
        <v>682</v>
      </c>
    </row>
    <row r="11" spans="1:11" x14ac:dyDescent="0.3">
      <c r="A11" s="51" t="s">
        <v>657</v>
      </c>
    </row>
    <row r="12" spans="1:11" x14ac:dyDescent="0.3">
      <c r="A12" s="81" t="s">
        <v>684</v>
      </c>
    </row>
  </sheetData>
  <mergeCells count="2">
    <mergeCell ref="A1:C1"/>
    <mergeCell ref="H1:J1"/>
  </mergeCells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AC889-E864-4C26-99CF-41F20E1A9B56}">
  <dimension ref="A1:N74"/>
  <sheetViews>
    <sheetView zoomScale="110" zoomScaleNormal="110" workbookViewId="0">
      <selection activeCell="H21" sqref="H21"/>
    </sheetView>
  </sheetViews>
  <sheetFormatPr defaultRowHeight="14.4" x14ac:dyDescent="0.3"/>
  <cols>
    <col min="1" max="1" width="19.5546875" bestFit="1" customWidth="1"/>
    <col min="2" max="2" width="15.5546875" bestFit="1" customWidth="1"/>
    <col min="3" max="3" width="9.44140625" bestFit="1" customWidth="1"/>
    <col min="4" max="4" width="6.88671875" bestFit="1" customWidth="1"/>
    <col min="5" max="5" width="8.44140625" bestFit="1" customWidth="1"/>
    <col min="6" max="6" width="10.77734375" bestFit="1" customWidth="1"/>
    <col min="10" max="10" width="18.6640625" customWidth="1"/>
    <col min="11" max="11" width="19.5546875" bestFit="1" customWidth="1"/>
  </cols>
  <sheetData>
    <row r="1" spans="1:6" ht="15.6" x14ac:dyDescent="0.3">
      <c r="A1" s="49" t="s">
        <v>658</v>
      </c>
    </row>
    <row r="3" spans="1:6" x14ac:dyDescent="0.3">
      <c r="A3" s="5" t="s">
        <v>659</v>
      </c>
      <c r="B3" s="5" t="s">
        <v>660</v>
      </c>
    </row>
    <row r="4" spans="1:6" x14ac:dyDescent="0.3">
      <c r="A4" s="5" t="s">
        <v>615</v>
      </c>
      <c r="B4" t="s">
        <v>43</v>
      </c>
      <c r="C4" t="s">
        <v>33</v>
      </c>
      <c r="D4" t="s">
        <v>14</v>
      </c>
      <c r="E4" t="s">
        <v>27</v>
      </c>
      <c r="F4" t="s">
        <v>616</v>
      </c>
    </row>
    <row r="5" spans="1:6" x14ac:dyDescent="0.3">
      <c r="A5" s="6" t="s">
        <v>232</v>
      </c>
      <c r="B5">
        <v>1002</v>
      </c>
      <c r="C5">
        <v>1047</v>
      </c>
      <c r="D5">
        <v>415</v>
      </c>
      <c r="E5">
        <v>1090</v>
      </c>
      <c r="F5">
        <v>3554</v>
      </c>
    </row>
    <row r="6" spans="1:6" x14ac:dyDescent="0.3">
      <c r="A6" s="6" t="s">
        <v>151</v>
      </c>
      <c r="B6">
        <v>1283</v>
      </c>
      <c r="C6">
        <v>517</v>
      </c>
      <c r="D6">
        <v>186</v>
      </c>
      <c r="E6">
        <v>994</v>
      </c>
      <c r="F6">
        <v>2980</v>
      </c>
    </row>
    <row r="7" spans="1:6" x14ac:dyDescent="0.3">
      <c r="A7" s="6" t="s">
        <v>164</v>
      </c>
      <c r="B7">
        <v>1382</v>
      </c>
      <c r="C7">
        <v>893</v>
      </c>
      <c r="D7">
        <v>1295</v>
      </c>
      <c r="E7">
        <v>337</v>
      </c>
      <c r="F7">
        <v>3907</v>
      </c>
    </row>
    <row r="8" spans="1:6" x14ac:dyDescent="0.3">
      <c r="A8" s="6" t="s">
        <v>48</v>
      </c>
      <c r="B8">
        <v>1670</v>
      </c>
      <c r="C8">
        <v>629</v>
      </c>
      <c r="D8">
        <v>835</v>
      </c>
      <c r="E8">
        <v>-123</v>
      </c>
      <c r="F8">
        <v>3011</v>
      </c>
    </row>
    <row r="9" spans="1:6" x14ac:dyDescent="0.3">
      <c r="A9" s="6" t="s">
        <v>455</v>
      </c>
      <c r="B9">
        <v>64</v>
      </c>
      <c r="C9">
        <v>-219</v>
      </c>
      <c r="D9">
        <v>1357</v>
      </c>
      <c r="E9">
        <v>91</v>
      </c>
      <c r="F9">
        <v>1293</v>
      </c>
    </row>
    <row r="10" spans="1:6" x14ac:dyDescent="0.3">
      <c r="A10" s="6" t="s">
        <v>573</v>
      </c>
      <c r="B10">
        <v>309</v>
      </c>
      <c r="C10">
        <v>1672</v>
      </c>
      <c r="D10">
        <v>547</v>
      </c>
      <c r="E10">
        <v>514</v>
      </c>
      <c r="F10">
        <v>3042</v>
      </c>
    </row>
    <row r="11" spans="1:6" x14ac:dyDescent="0.3">
      <c r="A11" s="6" t="s">
        <v>315</v>
      </c>
      <c r="B11">
        <v>-164</v>
      </c>
      <c r="C11">
        <v>1845</v>
      </c>
      <c r="D11">
        <v>429</v>
      </c>
      <c r="E11">
        <v>160</v>
      </c>
      <c r="F11">
        <v>2270</v>
      </c>
    </row>
    <row r="12" spans="1:6" x14ac:dyDescent="0.3">
      <c r="A12" s="6" t="s">
        <v>574</v>
      </c>
      <c r="B12">
        <v>961</v>
      </c>
      <c r="C12">
        <v>159</v>
      </c>
      <c r="D12">
        <v>1316</v>
      </c>
      <c r="E12">
        <v>317</v>
      </c>
      <c r="F12">
        <v>2753</v>
      </c>
    </row>
    <row r="13" spans="1:6" x14ac:dyDescent="0.3">
      <c r="A13" s="6" t="s">
        <v>268</v>
      </c>
      <c r="B13">
        <v>-318</v>
      </c>
      <c r="C13">
        <v>541</v>
      </c>
      <c r="D13">
        <v>1495</v>
      </c>
      <c r="E13">
        <v>475</v>
      </c>
      <c r="F13">
        <v>2193</v>
      </c>
    </row>
    <row r="14" spans="1:6" x14ac:dyDescent="0.3">
      <c r="A14" s="6" t="s">
        <v>501</v>
      </c>
      <c r="B14">
        <v>-197</v>
      </c>
      <c r="C14">
        <v>352</v>
      </c>
      <c r="D14">
        <v>328</v>
      </c>
      <c r="E14">
        <v>319</v>
      </c>
      <c r="F14">
        <v>802</v>
      </c>
    </row>
    <row r="15" spans="1:6" x14ac:dyDescent="0.3">
      <c r="A15" s="6" t="s">
        <v>34</v>
      </c>
      <c r="B15">
        <v>1334</v>
      </c>
      <c r="C15">
        <v>1325</v>
      </c>
      <c r="D15">
        <v>37</v>
      </c>
      <c r="E15">
        <v>1032</v>
      </c>
      <c r="F15">
        <v>3728</v>
      </c>
    </row>
    <row r="16" spans="1:6" x14ac:dyDescent="0.3">
      <c r="A16" s="6" t="s">
        <v>81</v>
      </c>
      <c r="B16">
        <v>1058</v>
      </c>
      <c r="C16">
        <v>76</v>
      </c>
      <c r="D16">
        <v>1665</v>
      </c>
      <c r="E16">
        <v>190</v>
      </c>
      <c r="F16">
        <v>2989</v>
      </c>
    </row>
    <row r="17" spans="1:14" x14ac:dyDescent="0.3">
      <c r="A17" s="6" t="s">
        <v>77</v>
      </c>
      <c r="B17">
        <v>37</v>
      </c>
      <c r="C17">
        <v>1609</v>
      </c>
      <c r="D17">
        <v>1229</v>
      </c>
      <c r="E17">
        <v>28</v>
      </c>
      <c r="F17">
        <v>2903</v>
      </c>
    </row>
    <row r="18" spans="1:14" x14ac:dyDescent="0.3">
      <c r="A18" s="6" t="s">
        <v>195</v>
      </c>
      <c r="B18">
        <v>1045</v>
      </c>
      <c r="C18">
        <v>1247</v>
      </c>
      <c r="D18">
        <v>197</v>
      </c>
      <c r="E18">
        <v>333</v>
      </c>
      <c r="F18">
        <v>2822</v>
      </c>
    </row>
    <row r="19" spans="1:14" x14ac:dyDescent="0.3">
      <c r="A19" s="6" t="s">
        <v>87</v>
      </c>
      <c r="B19">
        <v>1428</v>
      </c>
      <c r="C19">
        <v>1572</v>
      </c>
      <c r="D19">
        <v>260</v>
      </c>
      <c r="E19">
        <v>1100</v>
      </c>
      <c r="F19">
        <v>4360</v>
      </c>
    </row>
    <row r="20" spans="1:14" x14ac:dyDescent="0.3">
      <c r="A20" s="6" t="s">
        <v>575</v>
      </c>
      <c r="B20">
        <v>98</v>
      </c>
      <c r="C20">
        <v>377</v>
      </c>
      <c r="D20">
        <v>1125</v>
      </c>
      <c r="E20">
        <v>-32</v>
      </c>
      <c r="F20">
        <v>1568</v>
      </c>
    </row>
    <row r="21" spans="1:14" ht="15.6" x14ac:dyDescent="0.3">
      <c r="A21" s="6" t="s">
        <v>576</v>
      </c>
      <c r="B21">
        <v>-19</v>
      </c>
      <c r="C21">
        <v>666</v>
      </c>
      <c r="D21">
        <v>1680</v>
      </c>
      <c r="E21">
        <v>1006</v>
      </c>
      <c r="F21">
        <v>3333</v>
      </c>
      <c r="J21" s="102" t="s">
        <v>661</v>
      </c>
      <c r="K21" s="102"/>
    </row>
    <row r="22" spans="1:14" x14ac:dyDescent="0.3">
      <c r="A22" s="6" t="s">
        <v>577</v>
      </c>
      <c r="B22">
        <v>-179</v>
      </c>
      <c r="C22">
        <v>1025</v>
      </c>
      <c r="D22">
        <v>599</v>
      </c>
      <c r="E22">
        <v>1706</v>
      </c>
      <c r="F22">
        <v>3151</v>
      </c>
    </row>
    <row r="23" spans="1:14" x14ac:dyDescent="0.3">
      <c r="A23" s="6" t="s">
        <v>578</v>
      </c>
      <c r="B23">
        <v>1662</v>
      </c>
      <c r="C23">
        <v>1872</v>
      </c>
      <c r="D23">
        <v>107</v>
      </c>
      <c r="E23">
        <v>118</v>
      </c>
      <c r="F23">
        <v>3759</v>
      </c>
      <c r="J23" s="84" t="s">
        <v>685</v>
      </c>
      <c r="K23" s="33" t="s">
        <v>659</v>
      </c>
    </row>
    <row r="24" spans="1:14" x14ac:dyDescent="0.3">
      <c r="A24" s="6" t="s">
        <v>579</v>
      </c>
      <c r="B24">
        <v>285</v>
      </c>
      <c r="C24">
        <v>1224</v>
      </c>
      <c r="D24">
        <v>-20</v>
      </c>
      <c r="E24">
        <v>367</v>
      </c>
      <c r="F24">
        <v>1856</v>
      </c>
      <c r="J24" s="86">
        <v>45656</v>
      </c>
      <c r="K24" s="87">
        <v>6530</v>
      </c>
      <c r="N24" s="80" t="s">
        <v>686</v>
      </c>
    </row>
    <row r="25" spans="1:14" x14ac:dyDescent="0.3">
      <c r="A25" s="6" t="s">
        <v>168</v>
      </c>
      <c r="B25">
        <v>439</v>
      </c>
      <c r="C25">
        <v>262</v>
      </c>
      <c r="D25">
        <v>636</v>
      </c>
      <c r="E25">
        <v>1484</v>
      </c>
      <c r="F25">
        <v>2821</v>
      </c>
      <c r="J25" s="85">
        <v>45698</v>
      </c>
      <c r="K25" s="33">
        <v>5281</v>
      </c>
    </row>
    <row r="26" spans="1:14" x14ac:dyDescent="0.3">
      <c r="A26" s="6" t="s">
        <v>201</v>
      </c>
      <c r="B26">
        <v>386</v>
      </c>
      <c r="C26">
        <v>576</v>
      </c>
      <c r="D26">
        <v>37</v>
      </c>
      <c r="E26">
        <v>1657</v>
      </c>
      <c r="F26">
        <v>2656</v>
      </c>
      <c r="J26" s="85">
        <v>45642</v>
      </c>
      <c r="K26" s="33">
        <v>5044</v>
      </c>
    </row>
    <row r="27" spans="1:14" x14ac:dyDescent="0.3">
      <c r="A27" s="6" t="s">
        <v>282</v>
      </c>
      <c r="B27">
        <v>540</v>
      </c>
      <c r="C27">
        <v>1397</v>
      </c>
      <c r="D27">
        <v>1603</v>
      </c>
      <c r="E27">
        <v>1044</v>
      </c>
      <c r="F27">
        <v>4584</v>
      </c>
      <c r="J27" s="85">
        <v>45712</v>
      </c>
      <c r="K27" s="33">
        <v>4806</v>
      </c>
    </row>
    <row r="28" spans="1:14" x14ac:dyDescent="0.3">
      <c r="A28" s="6" t="s">
        <v>580</v>
      </c>
      <c r="B28">
        <v>-106</v>
      </c>
      <c r="C28">
        <v>902</v>
      </c>
      <c r="D28">
        <v>1150</v>
      </c>
      <c r="E28">
        <v>349</v>
      </c>
      <c r="F28">
        <v>2295</v>
      </c>
      <c r="J28" s="85">
        <v>45628</v>
      </c>
      <c r="K28" s="33">
        <v>4795</v>
      </c>
    </row>
    <row r="29" spans="1:14" x14ac:dyDescent="0.3">
      <c r="A29" s="6" t="s">
        <v>67</v>
      </c>
      <c r="B29">
        <v>72</v>
      </c>
      <c r="C29">
        <v>-49</v>
      </c>
      <c r="D29">
        <v>445</v>
      </c>
      <c r="E29">
        <v>60</v>
      </c>
      <c r="F29">
        <v>528</v>
      </c>
      <c r="J29" s="85">
        <v>45635</v>
      </c>
      <c r="K29" s="33">
        <v>4792</v>
      </c>
    </row>
    <row r="30" spans="1:14" x14ac:dyDescent="0.3">
      <c r="A30" s="6" t="s">
        <v>129</v>
      </c>
      <c r="B30">
        <v>1332</v>
      </c>
      <c r="C30">
        <v>1693</v>
      </c>
      <c r="D30">
        <v>98</v>
      </c>
      <c r="E30">
        <v>885</v>
      </c>
      <c r="F30">
        <v>4008</v>
      </c>
      <c r="J30" s="85">
        <v>45782</v>
      </c>
      <c r="K30" s="33">
        <v>4594</v>
      </c>
    </row>
    <row r="31" spans="1:14" x14ac:dyDescent="0.3">
      <c r="A31" s="6" t="s">
        <v>581</v>
      </c>
      <c r="B31">
        <v>1706</v>
      </c>
      <c r="C31">
        <v>1625</v>
      </c>
      <c r="D31">
        <v>1173</v>
      </c>
      <c r="E31">
        <v>291</v>
      </c>
      <c r="F31">
        <v>4795</v>
      </c>
      <c r="J31" s="85">
        <v>45600</v>
      </c>
      <c r="K31" s="33">
        <v>4584</v>
      </c>
    </row>
    <row r="32" spans="1:14" x14ac:dyDescent="0.3">
      <c r="A32" s="6" t="s">
        <v>221</v>
      </c>
      <c r="B32">
        <v>1373</v>
      </c>
      <c r="C32">
        <v>1119</v>
      </c>
      <c r="D32">
        <v>1727</v>
      </c>
      <c r="E32">
        <v>573</v>
      </c>
      <c r="F32">
        <v>4792</v>
      </c>
      <c r="J32" s="85">
        <v>45544</v>
      </c>
      <c r="K32" s="33">
        <v>4360</v>
      </c>
    </row>
    <row r="33" spans="1:11" x14ac:dyDescent="0.3">
      <c r="A33" s="6" t="s">
        <v>112</v>
      </c>
      <c r="B33">
        <v>1377</v>
      </c>
      <c r="C33">
        <v>1432</v>
      </c>
      <c r="D33">
        <v>1359</v>
      </c>
      <c r="E33">
        <v>876</v>
      </c>
      <c r="F33">
        <v>5044</v>
      </c>
      <c r="J33" s="85">
        <v>45747</v>
      </c>
      <c r="K33" s="33">
        <v>4298</v>
      </c>
    </row>
    <row r="34" spans="1:11" x14ac:dyDescent="0.3">
      <c r="A34" s="6" t="s">
        <v>15</v>
      </c>
      <c r="B34">
        <v>730</v>
      </c>
      <c r="C34">
        <v>684</v>
      </c>
      <c r="D34">
        <v>911</v>
      </c>
      <c r="E34">
        <v>1589</v>
      </c>
      <c r="F34">
        <v>3914</v>
      </c>
      <c r="J34" s="85">
        <v>45733</v>
      </c>
      <c r="K34" s="33">
        <v>4042</v>
      </c>
    </row>
    <row r="35" spans="1:11" x14ac:dyDescent="0.3">
      <c r="A35" s="6" t="s">
        <v>582</v>
      </c>
      <c r="B35">
        <v>1776</v>
      </c>
      <c r="C35">
        <v>1765</v>
      </c>
      <c r="D35">
        <v>1529</v>
      </c>
      <c r="E35">
        <v>1460</v>
      </c>
      <c r="F35">
        <v>6530</v>
      </c>
      <c r="J35" s="85">
        <v>45768</v>
      </c>
      <c r="K35" s="33">
        <v>4040</v>
      </c>
    </row>
    <row r="36" spans="1:11" x14ac:dyDescent="0.3">
      <c r="A36" s="6" t="s">
        <v>125</v>
      </c>
      <c r="B36">
        <v>620</v>
      </c>
      <c r="C36">
        <v>903</v>
      </c>
      <c r="D36">
        <v>1188</v>
      </c>
      <c r="E36">
        <v>846</v>
      </c>
      <c r="F36">
        <v>3557</v>
      </c>
      <c r="J36" s="85">
        <v>45621</v>
      </c>
      <c r="K36" s="33">
        <v>4008</v>
      </c>
    </row>
    <row r="37" spans="1:11" x14ac:dyDescent="0.3">
      <c r="A37" s="6" t="s">
        <v>583</v>
      </c>
      <c r="B37">
        <v>298</v>
      </c>
      <c r="C37">
        <v>1722</v>
      </c>
      <c r="D37">
        <v>-144</v>
      </c>
      <c r="E37">
        <v>901</v>
      </c>
      <c r="F37">
        <v>2777</v>
      </c>
      <c r="J37" s="85">
        <v>45649</v>
      </c>
      <c r="K37" s="33">
        <v>3914</v>
      </c>
    </row>
    <row r="38" spans="1:11" x14ac:dyDescent="0.3">
      <c r="A38" s="6" t="s">
        <v>584</v>
      </c>
      <c r="B38">
        <v>427</v>
      </c>
      <c r="C38">
        <v>1572</v>
      </c>
      <c r="D38">
        <v>891</v>
      </c>
      <c r="E38">
        <v>724</v>
      </c>
      <c r="F38">
        <v>3614</v>
      </c>
      <c r="J38" s="85">
        <v>45460</v>
      </c>
      <c r="K38" s="33">
        <v>3907</v>
      </c>
    </row>
    <row r="39" spans="1:11" x14ac:dyDescent="0.3">
      <c r="A39" s="6" t="s">
        <v>224</v>
      </c>
      <c r="B39">
        <v>898</v>
      </c>
      <c r="C39">
        <v>-166</v>
      </c>
      <c r="D39">
        <v>1426</v>
      </c>
      <c r="E39">
        <v>1225</v>
      </c>
      <c r="F39">
        <v>3383</v>
      </c>
      <c r="J39" s="85">
        <v>45572</v>
      </c>
      <c r="K39" s="33">
        <v>3759</v>
      </c>
    </row>
    <row r="40" spans="1:11" x14ac:dyDescent="0.3">
      <c r="A40" s="6" t="s">
        <v>585</v>
      </c>
      <c r="B40">
        <v>748</v>
      </c>
      <c r="C40">
        <v>1080</v>
      </c>
      <c r="D40">
        <v>569</v>
      </c>
      <c r="E40">
        <v>-203</v>
      </c>
      <c r="F40">
        <v>2194</v>
      </c>
      <c r="J40" s="85">
        <v>45516</v>
      </c>
      <c r="K40" s="33">
        <v>3728</v>
      </c>
    </row>
    <row r="41" spans="1:11" x14ac:dyDescent="0.3">
      <c r="A41" s="6" t="s">
        <v>249</v>
      </c>
      <c r="B41">
        <v>912</v>
      </c>
      <c r="C41">
        <v>1723</v>
      </c>
      <c r="D41">
        <v>1202</v>
      </c>
      <c r="E41">
        <v>1444</v>
      </c>
      <c r="F41">
        <v>5281</v>
      </c>
      <c r="J41" s="85">
        <v>45726</v>
      </c>
      <c r="K41" s="33">
        <v>3712</v>
      </c>
    </row>
    <row r="42" spans="1:11" x14ac:dyDescent="0.3">
      <c r="A42" s="6" t="s">
        <v>127</v>
      </c>
      <c r="B42">
        <v>1590</v>
      </c>
      <c r="C42">
        <v>965</v>
      </c>
      <c r="D42">
        <v>-37</v>
      </c>
      <c r="E42">
        <v>1175</v>
      </c>
      <c r="F42">
        <v>3693</v>
      </c>
      <c r="J42" s="85">
        <v>45705</v>
      </c>
      <c r="K42" s="33">
        <v>3693</v>
      </c>
    </row>
    <row r="43" spans="1:11" x14ac:dyDescent="0.3">
      <c r="A43" s="6" t="s">
        <v>147</v>
      </c>
      <c r="B43">
        <v>1707</v>
      </c>
      <c r="C43">
        <v>1375</v>
      </c>
      <c r="D43">
        <v>708</v>
      </c>
      <c r="E43">
        <v>1016</v>
      </c>
      <c r="F43">
        <v>4806</v>
      </c>
      <c r="J43" s="85">
        <v>45677</v>
      </c>
      <c r="K43" s="33">
        <v>3614</v>
      </c>
    </row>
    <row r="44" spans="1:11" x14ac:dyDescent="0.3">
      <c r="A44" s="6" t="s">
        <v>197</v>
      </c>
      <c r="B44">
        <v>-119</v>
      </c>
      <c r="C44">
        <v>1315</v>
      </c>
      <c r="D44">
        <v>899</v>
      </c>
      <c r="E44">
        <v>315</v>
      </c>
      <c r="F44">
        <v>2410</v>
      </c>
      <c r="J44" s="85">
        <v>45775</v>
      </c>
      <c r="K44" s="33">
        <v>3577</v>
      </c>
    </row>
    <row r="45" spans="1:11" x14ac:dyDescent="0.3">
      <c r="A45" s="6" t="s">
        <v>586</v>
      </c>
      <c r="B45">
        <v>908</v>
      </c>
      <c r="C45">
        <v>212</v>
      </c>
      <c r="D45">
        <v>1350</v>
      </c>
      <c r="E45">
        <v>1242</v>
      </c>
      <c r="F45">
        <v>3712</v>
      </c>
      <c r="J45" s="85">
        <v>45663</v>
      </c>
      <c r="K45" s="33">
        <v>3557</v>
      </c>
    </row>
    <row r="46" spans="1:11" x14ac:dyDescent="0.3">
      <c r="A46" s="6" t="s">
        <v>587</v>
      </c>
      <c r="B46">
        <v>1116</v>
      </c>
      <c r="C46">
        <v>680</v>
      </c>
      <c r="D46">
        <v>861</v>
      </c>
      <c r="E46">
        <v>1385</v>
      </c>
      <c r="F46">
        <v>4042</v>
      </c>
      <c r="J46" s="85">
        <v>45446</v>
      </c>
      <c r="K46" s="33">
        <v>3554</v>
      </c>
    </row>
    <row r="47" spans="1:11" x14ac:dyDescent="0.3">
      <c r="A47" s="6" t="s">
        <v>234</v>
      </c>
      <c r="B47">
        <v>474</v>
      </c>
      <c r="C47">
        <v>461</v>
      </c>
      <c r="D47">
        <v>292</v>
      </c>
      <c r="E47">
        <v>389</v>
      </c>
      <c r="F47">
        <v>1616</v>
      </c>
      <c r="J47" s="85">
        <v>45684</v>
      </c>
      <c r="K47" s="33">
        <v>3383</v>
      </c>
    </row>
    <row r="48" spans="1:11" x14ac:dyDescent="0.3">
      <c r="A48" s="6" t="s">
        <v>588</v>
      </c>
      <c r="B48">
        <v>514</v>
      </c>
      <c r="C48">
        <v>641</v>
      </c>
      <c r="D48">
        <v>1676</v>
      </c>
      <c r="E48">
        <v>1467</v>
      </c>
      <c r="F48">
        <v>4298</v>
      </c>
      <c r="J48" s="85">
        <v>45558</v>
      </c>
      <c r="K48" s="33">
        <v>3333</v>
      </c>
    </row>
    <row r="49" spans="1:11" x14ac:dyDescent="0.3">
      <c r="A49" s="6" t="s">
        <v>412</v>
      </c>
      <c r="B49">
        <v>1029</v>
      </c>
      <c r="C49">
        <v>167</v>
      </c>
      <c r="D49">
        <v>1007</v>
      </c>
      <c r="E49">
        <v>209</v>
      </c>
      <c r="F49">
        <v>2412</v>
      </c>
      <c r="J49" s="85">
        <v>45565</v>
      </c>
      <c r="K49" s="33">
        <v>3151</v>
      </c>
    </row>
    <row r="50" spans="1:11" x14ac:dyDescent="0.3">
      <c r="A50" s="6" t="s">
        <v>589</v>
      </c>
      <c r="B50">
        <v>-175</v>
      </c>
      <c r="C50">
        <v>-160</v>
      </c>
      <c r="D50">
        <v>53</v>
      </c>
      <c r="E50">
        <v>145</v>
      </c>
      <c r="F50">
        <v>-137</v>
      </c>
      <c r="J50" s="85">
        <v>45481</v>
      </c>
      <c r="K50" s="33">
        <v>3042</v>
      </c>
    </row>
    <row r="51" spans="1:11" x14ac:dyDescent="0.3">
      <c r="A51" s="6" t="s">
        <v>590</v>
      </c>
      <c r="B51">
        <v>1045</v>
      </c>
      <c r="C51">
        <v>603</v>
      </c>
      <c r="D51">
        <v>759</v>
      </c>
      <c r="E51">
        <v>1633</v>
      </c>
      <c r="F51">
        <v>4040</v>
      </c>
      <c r="J51" s="85">
        <v>45467</v>
      </c>
      <c r="K51" s="33">
        <v>3011</v>
      </c>
    </row>
    <row r="52" spans="1:11" x14ac:dyDescent="0.3">
      <c r="A52" s="6" t="s">
        <v>364</v>
      </c>
      <c r="B52">
        <v>453</v>
      </c>
      <c r="C52">
        <v>1539</v>
      </c>
      <c r="D52">
        <v>948</v>
      </c>
      <c r="E52">
        <v>637</v>
      </c>
      <c r="F52">
        <v>3577</v>
      </c>
      <c r="J52" s="85">
        <v>45523</v>
      </c>
      <c r="K52" s="33">
        <v>2989</v>
      </c>
    </row>
    <row r="53" spans="1:11" x14ac:dyDescent="0.3">
      <c r="A53" s="6" t="s">
        <v>79</v>
      </c>
      <c r="B53">
        <v>339</v>
      </c>
      <c r="C53">
        <v>1881</v>
      </c>
      <c r="D53">
        <v>1510</v>
      </c>
      <c r="E53">
        <v>864</v>
      </c>
      <c r="F53">
        <v>4594</v>
      </c>
      <c r="J53" s="85">
        <v>45453</v>
      </c>
      <c r="K53" s="33">
        <v>2980</v>
      </c>
    </row>
    <row r="54" spans="1:11" x14ac:dyDescent="0.3">
      <c r="A54" s="6" t="s">
        <v>28</v>
      </c>
      <c r="B54">
        <v>407</v>
      </c>
      <c r="C54">
        <v>1656</v>
      </c>
      <c r="D54">
        <v>269</v>
      </c>
      <c r="E54">
        <v>-337</v>
      </c>
      <c r="F54">
        <v>1995</v>
      </c>
      <c r="J54" s="85">
        <v>45530</v>
      </c>
      <c r="K54" s="33">
        <v>2903</v>
      </c>
    </row>
    <row r="55" spans="1:11" x14ac:dyDescent="0.3">
      <c r="A55" s="6" t="s">
        <v>616</v>
      </c>
      <c r="B55">
        <v>35557</v>
      </c>
      <c r="C55">
        <v>48004</v>
      </c>
      <c r="D55">
        <v>41177</v>
      </c>
      <c r="E55">
        <v>35367</v>
      </c>
      <c r="F55">
        <v>160105</v>
      </c>
      <c r="J55" s="85">
        <v>45537</v>
      </c>
      <c r="K55" s="33">
        <v>2822</v>
      </c>
    </row>
    <row r="56" spans="1:11" x14ac:dyDescent="0.3">
      <c r="J56" s="85">
        <v>45586</v>
      </c>
      <c r="K56" s="33">
        <v>2821</v>
      </c>
    </row>
    <row r="57" spans="1:11" x14ac:dyDescent="0.3">
      <c r="J57" s="85">
        <v>45670</v>
      </c>
      <c r="K57" s="33">
        <v>2777</v>
      </c>
    </row>
    <row r="58" spans="1:11" x14ac:dyDescent="0.3">
      <c r="J58" s="85">
        <v>45495</v>
      </c>
      <c r="K58" s="33">
        <v>2753</v>
      </c>
    </row>
    <row r="59" spans="1:11" x14ac:dyDescent="0.3">
      <c r="J59" s="85">
        <v>45593</v>
      </c>
      <c r="K59" s="33">
        <v>2656</v>
      </c>
    </row>
    <row r="60" spans="1:11" x14ac:dyDescent="0.3">
      <c r="J60" s="85">
        <v>45754</v>
      </c>
      <c r="K60" s="33">
        <v>2412</v>
      </c>
    </row>
    <row r="61" spans="1:11" x14ac:dyDescent="0.3">
      <c r="J61" s="85">
        <v>45719</v>
      </c>
      <c r="K61" s="33">
        <v>2410</v>
      </c>
    </row>
    <row r="62" spans="1:11" x14ac:dyDescent="0.3">
      <c r="J62" s="85">
        <v>45607</v>
      </c>
      <c r="K62" s="33">
        <v>2295</v>
      </c>
    </row>
    <row r="63" spans="1:11" x14ac:dyDescent="0.3">
      <c r="J63" s="85">
        <v>45488</v>
      </c>
      <c r="K63" s="33">
        <v>2270</v>
      </c>
    </row>
    <row r="64" spans="1:11" x14ac:dyDescent="0.3">
      <c r="J64" s="85">
        <v>45691</v>
      </c>
      <c r="K64" s="33">
        <v>2194</v>
      </c>
    </row>
    <row r="65" spans="10:11" x14ac:dyDescent="0.3">
      <c r="J65" s="85">
        <v>45502</v>
      </c>
      <c r="K65" s="33">
        <v>2193</v>
      </c>
    </row>
    <row r="66" spans="10:11" x14ac:dyDescent="0.3">
      <c r="J66" s="85">
        <v>45789</v>
      </c>
      <c r="K66" s="33">
        <v>1995</v>
      </c>
    </row>
    <row r="67" spans="10:11" x14ac:dyDescent="0.3">
      <c r="J67" s="85">
        <v>45579</v>
      </c>
      <c r="K67" s="33">
        <v>1856</v>
      </c>
    </row>
    <row r="68" spans="10:11" x14ac:dyDescent="0.3">
      <c r="J68" s="85">
        <v>45740</v>
      </c>
      <c r="K68" s="33">
        <v>1616</v>
      </c>
    </row>
    <row r="69" spans="10:11" x14ac:dyDescent="0.3">
      <c r="J69" s="85">
        <v>45551</v>
      </c>
      <c r="K69" s="33">
        <v>1568</v>
      </c>
    </row>
    <row r="70" spans="10:11" x14ac:dyDescent="0.3">
      <c r="J70" s="85">
        <v>45474</v>
      </c>
      <c r="K70" s="33">
        <v>1293</v>
      </c>
    </row>
    <row r="71" spans="10:11" x14ac:dyDescent="0.3">
      <c r="J71" s="85">
        <v>45509</v>
      </c>
      <c r="K71" s="33">
        <v>802</v>
      </c>
    </row>
    <row r="72" spans="10:11" x14ac:dyDescent="0.3">
      <c r="J72" s="85">
        <v>45614</v>
      </c>
      <c r="K72" s="33">
        <v>528</v>
      </c>
    </row>
    <row r="73" spans="10:11" x14ac:dyDescent="0.3">
      <c r="J73" s="85">
        <v>45761</v>
      </c>
      <c r="K73" s="33">
        <v>-137</v>
      </c>
    </row>
    <row r="74" spans="10:11" x14ac:dyDescent="0.3">
      <c r="J74" s="85" t="s">
        <v>616</v>
      </c>
      <c r="K74" s="33">
        <v>160105</v>
      </c>
    </row>
  </sheetData>
  <mergeCells count="1">
    <mergeCell ref="J21:K21"/>
  </mergeCell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F175-EF34-46EB-850E-2DB1A8BDFDAB}">
  <dimension ref="A1:P203"/>
  <sheetViews>
    <sheetView workbookViewId="0">
      <selection activeCell="K20" sqref="K20"/>
    </sheetView>
  </sheetViews>
  <sheetFormatPr defaultRowHeight="14.4" x14ac:dyDescent="0.3"/>
  <cols>
    <col min="1" max="2" width="16.44140625" style="3" customWidth="1"/>
    <col min="3" max="3" width="23.109375" style="27" customWidth="1"/>
    <col min="4" max="4" width="11.88671875" bestFit="1" customWidth="1"/>
    <col min="5" max="5" width="15.109375" bestFit="1" customWidth="1"/>
    <col min="15" max="15" width="18.88671875" customWidth="1"/>
    <col min="16" max="16" width="21" customWidth="1"/>
  </cols>
  <sheetData>
    <row r="1" spans="1:16" x14ac:dyDescent="0.3">
      <c r="A1" s="98" t="s">
        <v>688</v>
      </c>
      <c r="B1" s="98"/>
      <c r="C1" s="98"/>
      <c r="O1" s="98" t="s">
        <v>687</v>
      </c>
      <c r="P1" s="98"/>
    </row>
    <row r="3" spans="1:16" x14ac:dyDescent="0.3">
      <c r="A3" s="88" t="s">
        <v>567</v>
      </c>
      <c r="B3" s="89" t="s">
        <v>572</v>
      </c>
      <c r="C3" s="89" t="s">
        <v>638</v>
      </c>
      <c r="D3" s="80"/>
      <c r="O3" s="89" t="s">
        <v>567</v>
      </c>
      <c r="P3" s="89" t="s">
        <v>638</v>
      </c>
    </row>
    <row r="4" spans="1:16" x14ac:dyDescent="0.3">
      <c r="A4" s="34">
        <v>45446</v>
      </c>
      <c r="B4" s="33">
        <v>5904</v>
      </c>
      <c r="C4" s="90">
        <v>1047</v>
      </c>
      <c r="O4" s="93">
        <v>45446</v>
      </c>
      <c r="P4" s="90">
        <v>1047</v>
      </c>
    </row>
    <row r="5" spans="1:16" x14ac:dyDescent="0.3">
      <c r="A5" s="34">
        <v>45446</v>
      </c>
      <c r="B5" s="33">
        <v>9566</v>
      </c>
      <c r="C5" s="90">
        <v>1002</v>
      </c>
      <c r="O5" s="94">
        <v>45446</v>
      </c>
      <c r="P5" s="90">
        <v>1002</v>
      </c>
    </row>
    <row r="6" spans="1:16" x14ac:dyDescent="0.3">
      <c r="A6" s="34">
        <v>45446</v>
      </c>
      <c r="B6" s="33">
        <v>26752</v>
      </c>
      <c r="C6" s="90">
        <v>415</v>
      </c>
      <c r="O6" s="93">
        <v>45446</v>
      </c>
      <c r="P6" s="90">
        <v>415</v>
      </c>
    </row>
    <row r="7" spans="1:16" x14ac:dyDescent="0.3">
      <c r="A7" s="34">
        <v>45446</v>
      </c>
      <c r="B7" s="33">
        <v>30671</v>
      </c>
      <c r="C7" s="90">
        <v>1090</v>
      </c>
      <c r="O7" s="94">
        <v>45446</v>
      </c>
      <c r="P7" s="90">
        <v>1090</v>
      </c>
    </row>
    <row r="8" spans="1:16" x14ac:dyDescent="0.3">
      <c r="A8" s="34">
        <v>45453</v>
      </c>
      <c r="B8" s="33">
        <v>9920</v>
      </c>
      <c r="C8" s="90">
        <v>517</v>
      </c>
      <c r="O8" s="93">
        <v>45453</v>
      </c>
      <c r="P8" s="90">
        <v>517</v>
      </c>
    </row>
    <row r="9" spans="1:16" x14ac:dyDescent="0.3">
      <c r="A9" s="34">
        <v>45453</v>
      </c>
      <c r="B9" s="33">
        <v>7924</v>
      </c>
      <c r="C9" s="90">
        <v>1283</v>
      </c>
      <c r="O9" s="94">
        <v>45453</v>
      </c>
      <c r="P9" s="90">
        <v>1283</v>
      </c>
    </row>
    <row r="10" spans="1:16" x14ac:dyDescent="0.3">
      <c r="A10" s="34">
        <v>45453</v>
      </c>
      <c r="B10" s="33">
        <v>8912</v>
      </c>
      <c r="C10" s="90">
        <v>186</v>
      </c>
      <c r="O10" s="93">
        <v>45453</v>
      </c>
      <c r="P10" s="90">
        <v>186</v>
      </c>
    </row>
    <row r="11" spans="1:16" x14ac:dyDescent="0.3">
      <c r="A11" s="34">
        <v>45453</v>
      </c>
      <c r="B11" s="33">
        <v>21205</v>
      </c>
      <c r="C11" s="90">
        <v>994</v>
      </c>
      <c r="O11" s="94">
        <v>45453</v>
      </c>
      <c r="P11" s="90">
        <v>994</v>
      </c>
    </row>
    <row r="12" spans="1:16" x14ac:dyDescent="0.3">
      <c r="A12" s="34">
        <v>45460</v>
      </c>
      <c r="B12" s="33">
        <v>11329</v>
      </c>
      <c r="C12" s="90">
        <v>893</v>
      </c>
      <c r="O12" s="93">
        <v>45460</v>
      </c>
      <c r="P12" s="90">
        <v>893</v>
      </c>
    </row>
    <row r="13" spans="1:16" x14ac:dyDescent="0.3">
      <c r="A13" s="34">
        <v>45460</v>
      </c>
      <c r="B13" s="33">
        <v>46670</v>
      </c>
      <c r="C13" s="90">
        <v>1382</v>
      </c>
      <c r="O13" s="94">
        <v>45460</v>
      </c>
      <c r="P13" s="90">
        <v>1382</v>
      </c>
    </row>
    <row r="14" spans="1:16" x14ac:dyDescent="0.3">
      <c r="A14" s="34">
        <v>45460</v>
      </c>
      <c r="B14" s="33">
        <v>22482</v>
      </c>
      <c r="C14" s="90">
        <v>1295</v>
      </c>
      <c r="O14" s="93">
        <v>45460</v>
      </c>
      <c r="P14" s="90">
        <v>1295</v>
      </c>
    </row>
    <row r="15" spans="1:16" x14ac:dyDescent="0.3">
      <c r="A15" s="34">
        <v>45460</v>
      </c>
      <c r="B15" s="33">
        <v>24313</v>
      </c>
      <c r="C15" s="90">
        <v>337</v>
      </c>
      <c r="O15" s="94">
        <v>45460</v>
      </c>
      <c r="P15" s="90">
        <v>337</v>
      </c>
    </row>
    <row r="16" spans="1:16" x14ac:dyDescent="0.3">
      <c r="A16" s="34">
        <v>45467</v>
      </c>
      <c r="B16" s="33">
        <v>18050</v>
      </c>
      <c r="C16" s="90">
        <v>629</v>
      </c>
      <c r="O16" s="93">
        <v>45467</v>
      </c>
      <c r="P16" s="90">
        <v>629</v>
      </c>
    </row>
    <row r="17" spans="1:16" x14ac:dyDescent="0.3">
      <c r="A17" s="34">
        <v>45467</v>
      </c>
      <c r="B17" s="33">
        <v>30635</v>
      </c>
      <c r="C17" s="90">
        <v>1670</v>
      </c>
      <c r="O17" s="94">
        <v>45467</v>
      </c>
      <c r="P17" s="90">
        <v>1670</v>
      </c>
    </row>
    <row r="18" spans="1:16" x14ac:dyDescent="0.3">
      <c r="A18" s="34">
        <v>45467</v>
      </c>
      <c r="B18" s="33">
        <v>31280</v>
      </c>
      <c r="C18" s="90">
        <v>835</v>
      </c>
      <c r="O18" s="93">
        <v>45467</v>
      </c>
      <c r="P18" s="90">
        <v>835</v>
      </c>
    </row>
    <row r="19" spans="1:16" x14ac:dyDescent="0.3">
      <c r="A19" s="34">
        <v>45467</v>
      </c>
      <c r="B19" s="33">
        <v>1783</v>
      </c>
      <c r="C19" s="90">
        <v>-123</v>
      </c>
      <c r="O19" s="94">
        <v>45467</v>
      </c>
      <c r="P19" s="90">
        <v>-123</v>
      </c>
    </row>
    <row r="20" spans="1:16" x14ac:dyDescent="0.3">
      <c r="A20" s="34">
        <v>45474</v>
      </c>
      <c r="B20" s="33">
        <v>9566</v>
      </c>
      <c r="C20" s="90">
        <v>-219</v>
      </c>
      <c r="E20" s="80" t="s">
        <v>683</v>
      </c>
      <c r="F20" s="80"/>
      <c r="G20" s="80"/>
      <c r="H20" s="80"/>
      <c r="I20" s="80"/>
      <c r="K20" s="91">
        <f>CORREL(B4:B203,C4:C203)</f>
        <v>8.5932221904422137E-2</v>
      </c>
      <c r="O20" s="93">
        <v>45474</v>
      </c>
      <c r="P20" s="90">
        <v>-219</v>
      </c>
    </row>
    <row r="21" spans="1:16" x14ac:dyDescent="0.3">
      <c r="A21" s="34">
        <v>45474</v>
      </c>
      <c r="B21" s="33">
        <v>42307</v>
      </c>
      <c r="C21" s="90">
        <v>64</v>
      </c>
      <c r="E21" s="92" t="s">
        <v>689</v>
      </c>
      <c r="O21" s="94">
        <v>45474</v>
      </c>
      <c r="P21" s="90">
        <v>64</v>
      </c>
    </row>
    <row r="22" spans="1:16" x14ac:dyDescent="0.3">
      <c r="A22" s="34">
        <v>45474</v>
      </c>
      <c r="B22" s="33">
        <v>5914</v>
      </c>
      <c r="C22" s="90">
        <v>1357</v>
      </c>
      <c r="O22" s="93">
        <v>45474</v>
      </c>
      <c r="P22" s="90">
        <v>1357</v>
      </c>
    </row>
    <row r="23" spans="1:16" x14ac:dyDescent="0.3">
      <c r="A23" s="34">
        <v>45474</v>
      </c>
      <c r="B23" s="33">
        <v>30060</v>
      </c>
      <c r="C23" s="90">
        <v>91</v>
      </c>
      <c r="O23" s="94">
        <v>45474</v>
      </c>
      <c r="P23" s="90">
        <v>91</v>
      </c>
    </row>
    <row r="24" spans="1:16" x14ac:dyDescent="0.3">
      <c r="A24" s="34">
        <v>45481</v>
      </c>
      <c r="B24" s="33">
        <v>22728</v>
      </c>
      <c r="C24" s="90">
        <v>1672</v>
      </c>
      <c r="O24" s="93">
        <v>45481</v>
      </c>
      <c r="P24" s="90">
        <v>1672</v>
      </c>
    </row>
    <row r="25" spans="1:16" x14ac:dyDescent="0.3">
      <c r="A25" s="34">
        <v>45481</v>
      </c>
      <c r="B25" s="33">
        <v>38610</v>
      </c>
      <c r="C25" s="90">
        <v>309</v>
      </c>
      <c r="O25" s="94">
        <v>45481</v>
      </c>
      <c r="P25" s="90">
        <v>309</v>
      </c>
    </row>
    <row r="26" spans="1:16" x14ac:dyDescent="0.3">
      <c r="A26" s="34">
        <v>45481</v>
      </c>
      <c r="B26" s="33">
        <v>2932</v>
      </c>
      <c r="C26" s="90">
        <v>547</v>
      </c>
      <c r="O26" s="93">
        <v>45481</v>
      </c>
      <c r="P26" s="90">
        <v>547</v>
      </c>
    </row>
    <row r="27" spans="1:16" x14ac:dyDescent="0.3">
      <c r="A27" s="34">
        <v>45481</v>
      </c>
      <c r="B27" s="33">
        <v>15071</v>
      </c>
      <c r="C27" s="90">
        <v>514</v>
      </c>
      <c r="O27" s="94">
        <v>45481</v>
      </c>
      <c r="P27" s="90">
        <v>514</v>
      </c>
    </row>
    <row r="28" spans="1:16" x14ac:dyDescent="0.3">
      <c r="A28" s="34">
        <v>45488</v>
      </c>
      <c r="B28" s="33">
        <v>10740</v>
      </c>
      <c r="C28" s="90">
        <v>1845</v>
      </c>
      <c r="O28" s="93">
        <v>45488</v>
      </c>
      <c r="P28" s="90">
        <v>1845</v>
      </c>
    </row>
    <row r="29" spans="1:16" x14ac:dyDescent="0.3">
      <c r="A29" s="34">
        <v>45488</v>
      </c>
      <c r="B29" s="33">
        <v>43420</v>
      </c>
      <c r="C29" s="90">
        <v>-164</v>
      </c>
      <c r="O29" s="94">
        <v>45488</v>
      </c>
      <c r="P29" s="90">
        <v>-164</v>
      </c>
    </row>
    <row r="30" spans="1:16" x14ac:dyDescent="0.3">
      <c r="A30" s="34">
        <v>45488</v>
      </c>
      <c r="B30" s="33">
        <v>32393</v>
      </c>
      <c r="C30" s="90">
        <v>429</v>
      </c>
      <c r="O30" s="93">
        <v>45488</v>
      </c>
      <c r="P30" s="90">
        <v>429</v>
      </c>
    </row>
    <row r="31" spans="1:16" x14ac:dyDescent="0.3">
      <c r="A31" s="34">
        <v>45488</v>
      </c>
      <c r="B31" s="33">
        <v>28474</v>
      </c>
      <c r="C31" s="90">
        <v>160</v>
      </c>
      <c r="O31" s="94">
        <v>45488</v>
      </c>
      <c r="P31" s="90">
        <v>160</v>
      </c>
    </row>
    <row r="32" spans="1:16" x14ac:dyDescent="0.3">
      <c r="A32" s="34">
        <v>45495</v>
      </c>
      <c r="B32" s="33">
        <v>17328</v>
      </c>
      <c r="C32" s="90">
        <v>159</v>
      </c>
      <c r="O32" s="93">
        <v>45495</v>
      </c>
      <c r="P32" s="90">
        <v>159</v>
      </c>
    </row>
    <row r="33" spans="1:16" x14ac:dyDescent="0.3">
      <c r="A33" s="34">
        <v>45495</v>
      </c>
      <c r="B33" s="33">
        <v>26067</v>
      </c>
      <c r="C33" s="90">
        <v>961</v>
      </c>
      <c r="O33" s="94">
        <v>45495</v>
      </c>
      <c r="P33" s="90">
        <v>961</v>
      </c>
    </row>
    <row r="34" spans="1:16" x14ac:dyDescent="0.3">
      <c r="A34" s="34">
        <v>45495</v>
      </c>
      <c r="B34" s="33">
        <v>32763</v>
      </c>
      <c r="C34" s="90">
        <v>1316</v>
      </c>
      <c r="O34" s="93">
        <v>45495</v>
      </c>
      <c r="P34" s="90">
        <v>1316</v>
      </c>
    </row>
    <row r="35" spans="1:16" x14ac:dyDescent="0.3">
      <c r="A35" s="34">
        <v>45495</v>
      </c>
      <c r="B35" s="33">
        <v>26452</v>
      </c>
      <c r="C35" s="90">
        <v>317</v>
      </c>
      <c r="O35" s="94">
        <v>45495</v>
      </c>
      <c r="P35" s="90">
        <v>317</v>
      </c>
    </row>
    <row r="36" spans="1:16" x14ac:dyDescent="0.3">
      <c r="A36" s="34">
        <v>45502</v>
      </c>
      <c r="B36" s="33">
        <v>15353</v>
      </c>
      <c r="C36" s="90">
        <v>541</v>
      </c>
      <c r="O36" s="93">
        <v>45502</v>
      </c>
      <c r="P36" s="90">
        <v>541</v>
      </c>
    </row>
    <row r="37" spans="1:16" x14ac:dyDescent="0.3">
      <c r="A37" s="34">
        <v>45502</v>
      </c>
      <c r="B37" s="33">
        <v>4839</v>
      </c>
      <c r="C37" s="90">
        <v>-318</v>
      </c>
      <c r="O37" s="94">
        <v>45502</v>
      </c>
      <c r="P37" s="90">
        <v>-318</v>
      </c>
    </row>
    <row r="38" spans="1:16" x14ac:dyDescent="0.3">
      <c r="A38" s="34">
        <v>45502</v>
      </c>
      <c r="B38" s="33">
        <v>39272</v>
      </c>
      <c r="C38" s="90">
        <v>1495</v>
      </c>
      <c r="O38" s="93">
        <v>45502</v>
      </c>
      <c r="P38" s="90">
        <v>1495</v>
      </c>
    </row>
    <row r="39" spans="1:16" x14ac:dyDescent="0.3">
      <c r="A39" s="34">
        <v>45502</v>
      </c>
      <c r="B39" s="33">
        <v>16804</v>
      </c>
      <c r="C39" s="90">
        <v>475</v>
      </c>
      <c r="O39" s="94">
        <v>45502</v>
      </c>
      <c r="P39" s="90">
        <v>475</v>
      </c>
    </row>
    <row r="40" spans="1:16" x14ac:dyDescent="0.3">
      <c r="A40" s="34">
        <v>45509</v>
      </c>
      <c r="B40" s="33">
        <v>49303</v>
      </c>
      <c r="C40" s="90">
        <v>352</v>
      </c>
      <c r="O40" s="93">
        <v>45509</v>
      </c>
      <c r="P40" s="90">
        <v>352</v>
      </c>
    </row>
    <row r="41" spans="1:16" x14ac:dyDescent="0.3">
      <c r="A41" s="34">
        <v>45509</v>
      </c>
      <c r="B41" s="33">
        <v>26455</v>
      </c>
      <c r="C41" s="90">
        <v>-197</v>
      </c>
      <c r="O41" s="94">
        <v>45509</v>
      </c>
      <c r="P41" s="90">
        <v>-197</v>
      </c>
    </row>
    <row r="42" spans="1:16" x14ac:dyDescent="0.3">
      <c r="A42" s="34">
        <v>45509</v>
      </c>
      <c r="B42" s="33">
        <v>12384</v>
      </c>
      <c r="C42" s="90">
        <v>328</v>
      </c>
      <c r="O42" s="93">
        <v>45509</v>
      </c>
      <c r="P42" s="90">
        <v>328</v>
      </c>
    </row>
    <row r="43" spans="1:16" x14ac:dyDescent="0.3">
      <c r="A43" s="34">
        <v>45509</v>
      </c>
      <c r="B43" s="33">
        <v>49372</v>
      </c>
      <c r="C43" s="90">
        <v>319</v>
      </c>
      <c r="O43" s="94">
        <v>45509</v>
      </c>
      <c r="P43" s="90">
        <v>319</v>
      </c>
    </row>
    <row r="44" spans="1:16" x14ac:dyDescent="0.3">
      <c r="A44" s="34">
        <v>45516</v>
      </c>
      <c r="B44" s="33">
        <v>47101</v>
      </c>
      <c r="C44" s="90">
        <v>1325</v>
      </c>
      <c r="O44" s="93">
        <v>45516</v>
      </c>
      <c r="P44" s="90">
        <v>1325</v>
      </c>
    </row>
    <row r="45" spans="1:16" x14ac:dyDescent="0.3">
      <c r="A45" s="34">
        <v>45516</v>
      </c>
      <c r="B45" s="33">
        <v>37903</v>
      </c>
      <c r="C45" s="90">
        <v>1334</v>
      </c>
      <c r="O45" s="94">
        <v>45516</v>
      </c>
      <c r="P45" s="90">
        <v>1334</v>
      </c>
    </row>
    <row r="46" spans="1:16" x14ac:dyDescent="0.3">
      <c r="A46" s="34">
        <v>45516</v>
      </c>
      <c r="B46" s="33">
        <v>33258</v>
      </c>
      <c r="C46" s="90">
        <v>37</v>
      </c>
      <c r="O46" s="93">
        <v>45516</v>
      </c>
      <c r="P46" s="90">
        <v>37</v>
      </c>
    </row>
    <row r="47" spans="1:16" x14ac:dyDescent="0.3">
      <c r="A47" s="34">
        <v>45516</v>
      </c>
      <c r="B47" s="33">
        <v>6915</v>
      </c>
      <c r="C47" s="90">
        <v>1032</v>
      </c>
      <c r="O47" s="94">
        <v>45516</v>
      </c>
      <c r="P47" s="90">
        <v>1032</v>
      </c>
    </row>
    <row r="48" spans="1:16" x14ac:dyDescent="0.3">
      <c r="A48" s="34">
        <v>45523</v>
      </c>
      <c r="B48" s="33">
        <v>35501</v>
      </c>
      <c r="C48" s="90">
        <v>76</v>
      </c>
      <c r="O48" s="93">
        <v>45523</v>
      </c>
      <c r="P48" s="90">
        <v>76</v>
      </c>
    </row>
    <row r="49" spans="1:16" x14ac:dyDescent="0.3">
      <c r="A49" s="34">
        <v>45523</v>
      </c>
      <c r="B49" s="33">
        <v>14203</v>
      </c>
      <c r="C49" s="90">
        <v>1058</v>
      </c>
      <c r="O49" s="94">
        <v>45523</v>
      </c>
      <c r="P49" s="90">
        <v>1058</v>
      </c>
    </row>
    <row r="50" spans="1:16" x14ac:dyDescent="0.3">
      <c r="A50" s="34">
        <v>45523</v>
      </c>
      <c r="B50" s="33">
        <v>22206</v>
      </c>
      <c r="C50" s="90">
        <v>1665</v>
      </c>
      <c r="O50" s="93">
        <v>45523</v>
      </c>
      <c r="P50" s="90">
        <v>1665</v>
      </c>
    </row>
    <row r="51" spans="1:16" x14ac:dyDescent="0.3">
      <c r="A51" s="34">
        <v>45523</v>
      </c>
      <c r="B51" s="33">
        <v>10283</v>
      </c>
      <c r="C51" s="90">
        <v>190</v>
      </c>
      <c r="O51" s="94">
        <v>45523</v>
      </c>
      <c r="P51" s="90">
        <v>190</v>
      </c>
    </row>
    <row r="52" spans="1:16" x14ac:dyDescent="0.3">
      <c r="A52" s="34">
        <v>45530</v>
      </c>
      <c r="B52" s="33">
        <v>24913</v>
      </c>
      <c r="C52" s="90">
        <v>1609</v>
      </c>
      <c r="O52" s="93">
        <v>45530</v>
      </c>
      <c r="P52" s="90">
        <v>1609</v>
      </c>
    </row>
    <row r="53" spans="1:16" x14ac:dyDescent="0.3">
      <c r="A53" s="34">
        <v>45530</v>
      </c>
      <c r="B53" s="33">
        <v>26925</v>
      </c>
      <c r="C53" s="90">
        <v>37</v>
      </c>
      <c r="O53" s="94">
        <v>45530</v>
      </c>
      <c r="P53" s="90">
        <v>37</v>
      </c>
    </row>
    <row r="54" spans="1:16" x14ac:dyDescent="0.3">
      <c r="A54" s="34">
        <v>45530</v>
      </c>
      <c r="B54" s="33">
        <v>9942</v>
      </c>
      <c r="C54" s="90">
        <v>1229</v>
      </c>
      <c r="O54" s="93">
        <v>45530</v>
      </c>
      <c r="P54" s="90">
        <v>1229</v>
      </c>
    </row>
    <row r="55" spans="1:16" x14ac:dyDescent="0.3">
      <c r="A55" s="34">
        <v>45530</v>
      </c>
      <c r="B55" s="33">
        <v>32929</v>
      </c>
      <c r="C55" s="90">
        <v>28</v>
      </c>
      <c r="O55" s="94">
        <v>45530</v>
      </c>
      <c r="P55" s="90">
        <v>28</v>
      </c>
    </row>
    <row r="56" spans="1:16" x14ac:dyDescent="0.3">
      <c r="A56" s="34">
        <v>45537</v>
      </c>
      <c r="B56" s="33">
        <v>37829</v>
      </c>
      <c r="C56" s="90">
        <v>1247</v>
      </c>
      <c r="O56" s="93">
        <v>45537</v>
      </c>
      <c r="P56" s="90">
        <v>1247</v>
      </c>
    </row>
    <row r="57" spans="1:16" x14ac:dyDescent="0.3">
      <c r="A57" s="34">
        <v>45537</v>
      </c>
      <c r="B57" s="33">
        <v>24384</v>
      </c>
      <c r="C57" s="90">
        <v>1045</v>
      </c>
      <c r="O57" s="94">
        <v>45537</v>
      </c>
      <c r="P57" s="90">
        <v>1045</v>
      </c>
    </row>
    <row r="58" spans="1:16" x14ac:dyDescent="0.3">
      <c r="A58" s="34">
        <v>45537</v>
      </c>
      <c r="B58" s="33">
        <v>25797</v>
      </c>
      <c r="C58" s="90">
        <v>197</v>
      </c>
      <c r="O58" s="93">
        <v>45537</v>
      </c>
      <c r="P58" s="90">
        <v>197</v>
      </c>
    </row>
    <row r="59" spans="1:16" x14ac:dyDescent="0.3">
      <c r="A59" s="34">
        <v>45537</v>
      </c>
      <c r="B59" s="33">
        <v>12646</v>
      </c>
      <c r="C59" s="90">
        <v>333</v>
      </c>
      <c r="O59" s="94">
        <v>45537</v>
      </c>
      <c r="P59" s="90">
        <v>333</v>
      </c>
    </row>
    <row r="60" spans="1:16" x14ac:dyDescent="0.3">
      <c r="A60" s="34">
        <v>45544</v>
      </c>
      <c r="B60" s="33">
        <v>26663</v>
      </c>
      <c r="C60" s="90">
        <v>1572</v>
      </c>
      <c r="O60" s="93">
        <v>45544</v>
      </c>
      <c r="P60" s="90">
        <v>1572</v>
      </c>
    </row>
    <row r="61" spans="1:16" x14ac:dyDescent="0.3">
      <c r="A61" s="34">
        <v>45544</v>
      </c>
      <c r="B61" s="33">
        <v>40478</v>
      </c>
      <c r="C61" s="90">
        <v>1428</v>
      </c>
      <c r="O61" s="94">
        <v>45544</v>
      </c>
      <c r="P61" s="90">
        <v>1428</v>
      </c>
    </row>
    <row r="62" spans="1:16" x14ac:dyDescent="0.3">
      <c r="A62" s="34">
        <v>45544</v>
      </c>
      <c r="B62" s="33">
        <v>15476</v>
      </c>
      <c r="C62" s="90">
        <v>260</v>
      </c>
      <c r="O62" s="93">
        <v>45544</v>
      </c>
      <c r="P62" s="90">
        <v>260</v>
      </c>
    </row>
    <row r="63" spans="1:16" x14ac:dyDescent="0.3">
      <c r="A63" s="34">
        <v>45544</v>
      </c>
      <c r="B63" s="33">
        <v>10217</v>
      </c>
      <c r="C63" s="90">
        <v>1100</v>
      </c>
      <c r="O63" s="94">
        <v>45544</v>
      </c>
      <c r="P63" s="90">
        <v>1100</v>
      </c>
    </row>
    <row r="64" spans="1:16" x14ac:dyDescent="0.3">
      <c r="A64" s="34">
        <v>45551</v>
      </c>
      <c r="B64" s="33">
        <v>21939</v>
      </c>
      <c r="C64" s="90">
        <v>377</v>
      </c>
      <c r="O64" s="93">
        <v>45551</v>
      </c>
      <c r="P64" s="90">
        <v>377</v>
      </c>
    </row>
    <row r="65" spans="1:16" x14ac:dyDescent="0.3">
      <c r="A65" s="34">
        <v>45551</v>
      </c>
      <c r="B65" s="33">
        <v>47462</v>
      </c>
      <c r="C65" s="90">
        <v>98</v>
      </c>
      <c r="O65" s="94">
        <v>45551</v>
      </c>
      <c r="P65" s="90">
        <v>98</v>
      </c>
    </row>
    <row r="66" spans="1:16" x14ac:dyDescent="0.3">
      <c r="A66" s="34">
        <v>45551</v>
      </c>
      <c r="B66" s="33">
        <v>30270</v>
      </c>
      <c r="C66" s="90">
        <v>1125</v>
      </c>
      <c r="O66" s="93">
        <v>45551</v>
      </c>
      <c r="P66" s="90">
        <v>1125</v>
      </c>
    </row>
    <row r="67" spans="1:16" x14ac:dyDescent="0.3">
      <c r="A67" s="34">
        <v>45551</v>
      </c>
      <c r="B67" s="33">
        <v>5442</v>
      </c>
      <c r="C67" s="90">
        <v>-32</v>
      </c>
      <c r="O67" s="94">
        <v>45551</v>
      </c>
      <c r="P67" s="90">
        <v>-32</v>
      </c>
    </row>
    <row r="68" spans="1:16" x14ac:dyDescent="0.3">
      <c r="A68" s="34">
        <v>45558</v>
      </c>
      <c r="B68" s="33">
        <v>1083</v>
      </c>
      <c r="C68" s="90">
        <v>666</v>
      </c>
      <c r="O68" s="93">
        <v>45558</v>
      </c>
      <c r="P68" s="90">
        <v>666</v>
      </c>
    </row>
    <row r="69" spans="1:16" x14ac:dyDescent="0.3">
      <c r="A69" s="34">
        <v>45558</v>
      </c>
      <c r="B69" s="33">
        <v>11901</v>
      </c>
      <c r="C69" s="90">
        <v>-19</v>
      </c>
      <c r="O69" s="94">
        <v>45558</v>
      </c>
      <c r="P69" s="90">
        <v>-19</v>
      </c>
    </row>
    <row r="70" spans="1:16" x14ac:dyDescent="0.3">
      <c r="A70" s="34">
        <v>45558</v>
      </c>
      <c r="B70" s="33">
        <v>24018</v>
      </c>
      <c r="C70" s="90">
        <v>1680</v>
      </c>
      <c r="O70" s="93">
        <v>45558</v>
      </c>
      <c r="P70" s="90">
        <v>1680</v>
      </c>
    </row>
    <row r="71" spans="1:16" x14ac:dyDescent="0.3">
      <c r="A71" s="34">
        <v>45558</v>
      </c>
      <c r="B71" s="33">
        <v>38883</v>
      </c>
      <c r="C71" s="90">
        <v>1006</v>
      </c>
      <c r="O71" s="94">
        <v>45558</v>
      </c>
      <c r="P71" s="90">
        <v>1006</v>
      </c>
    </row>
    <row r="72" spans="1:16" x14ac:dyDescent="0.3">
      <c r="A72" s="34">
        <v>45565</v>
      </c>
      <c r="B72" s="33">
        <v>30575</v>
      </c>
      <c r="C72" s="90">
        <v>1025</v>
      </c>
      <c r="O72" s="93">
        <v>45565</v>
      </c>
      <c r="P72" s="90">
        <v>1025</v>
      </c>
    </row>
    <row r="73" spans="1:16" x14ac:dyDescent="0.3">
      <c r="A73" s="34">
        <v>45565</v>
      </c>
      <c r="B73" s="33">
        <v>2315</v>
      </c>
      <c r="C73" s="90">
        <v>-179</v>
      </c>
      <c r="O73" s="94">
        <v>45565</v>
      </c>
      <c r="P73" s="90">
        <v>-179</v>
      </c>
    </row>
    <row r="74" spans="1:16" x14ac:dyDescent="0.3">
      <c r="A74" s="34">
        <v>45565</v>
      </c>
      <c r="B74" s="33">
        <v>12148</v>
      </c>
      <c r="C74" s="90">
        <v>599</v>
      </c>
      <c r="O74" s="93">
        <v>45565</v>
      </c>
      <c r="P74" s="90">
        <v>599</v>
      </c>
    </row>
    <row r="75" spans="1:16" x14ac:dyDescent="0.3">
      <c r="A75" s="34">
        <v>45565</v>
      </c>
      <c r="B75" s="33">
        <v>36851</v>
      </c>
      <c r="C75" s="90">
        <v>1706</v>
      </c>
      <c r="O75" s="94">
        <v>45565</v>
      </c>
      <c r="P75" s="90">
        <v>1706</v>
      </c>
    </row>
    <row r="76" spans="1:16" x14ac:dyDescent="0.3">
      <c r="A76" s="34">
        <v>45572</v>
      </c>
      <c r="B76" s="33">
        <v>41215</v>
      </c>
      <c r="C76" s="90">
        <v>1872</v>
      </c>
      <c r="O76" s="93">
        <v>45572</v>
      </c>
      <c r="P76" s="90">
        <v>1872</v>
      </c>
    </row>
    <row r="77" spans="1:16" x14ac:dyDescent="0.3">
      <c r="A77" s="34">
        <v>45572</v>
      </c>
      <c r="B77" s="33">
        <v>43836</v>
      </c>
      <c r="C77" s="90">
        <v>1662</v>
      </c>
      <c r="O77" s="94">
        <v>45572</v>
      </c>
      <c r="P77" s="90">
        <v>1662</v>
      </c>
    </row>
    <row r="78" spans="1:16" x14ac:dyDescent="0.3">
      <c r="A78" s="34">
        <v>45572</v>
      </c>
      <c r="B78" s="33">
        <v>4509</v>
      </c>
      <c r="C78" s="90">
        <v>107</v>
      </c>
      <c r="O78" s="93">
        <v>45572</v>
      </c>
      <c r="P78" s="90">
        <v>107</v>
      </c>
    </row>
    <row r="79" spans="1:16" x14ac:dyDescent="0.3">
      <c r="A79" s="34">
        <v>45572</v>
      </c>
      <c r="B79" s="33">
        <v>27822</v>
      </c>
      <c r="C79" s="90">
        <v>118</v>
      </c>
      <c r="O79" s="94">
        <v>45572</v>
      </c>
      <c r="P79" s="90">
        <v>118</v>
      </c>
    </row>
    <row r="80" spans="1:16" x14ac:dyDescent="0.3">
      <c r="A80" s="34">
        <v>45579</v>
      </c>
      <c r="B80" s="33">
        <v>36397</v>
      </c>
      <c r="C80" s="90">
        <v>1224</v>
      </c>
      <c r="O80" s="93">
        <v>45579</v>
      </c>
      <c r="P80" s="90">
        <v>1224</v>
      </c>
    </row>
    <row r="81" spans="1:16" x14ac:dyDescent="0.3">
      <c r="A81" s="34">
        <v>45579</v>
      </c>
      <c r="B81" s="33">
        <v>7285</v>
      </c>
      <c r="C81" s="90">
        <v>285</v>
      </c>
      <c r="O81" s="94">
        <v>45579</v>
      </c>
      <c r="P81" s="90">
        <v>285</v>
      </c>
    </row>
    <row r="82" spans="1:16" x14ac:dyDescent="0.3">
      <c r="A82" s="34">
        <v>45579</v>
      </c>
      <c r="B82" s="33">
        <v>33174</v>
      </c>
      <c r="C82" s="90">
        <v>-20</v>
      </c>
      <c r="O82" s="93">
        <v>45579</v>
      </c>
      <c r="P82" s="90">
        <v>-20</v>
      </c>
    </row>
    <row r="83" spans="1:16" x14ac:dyDescent="0.3">
      <c r="A83" s="34">
        <v>45579</v>
      </c>
      <c r="B83" s="33">
        <v>6742</v>
      </c>
      <c r="C83" s="90">
        <v>367</v>
      </c>
      <c r="O83" s="94">
        <v>45579</v>
      </c>
      <c r="P83" s="90">
        <v>367</v>
      </c>
    </row>
    <row r="84" spans="1:16" x14ac:dyDescent="0.3">
      <c r="A84" s="34">
        <v>45586</v>
      </c>
      <c r="B84" s="33">
        <v>32478</v>
      </c>
      <c r="C84" s="90">
        <v>262</v>
      </c>
      <c r="O84" s="93">
        <v>45586</v>
      </c>
      <c r="P84" s="90">
        <v>262</v>
      </c>
    </row>
    <row r="85" spans="1:16" x14ac:dyDescent="0.3">
      <c r="A85" s="34">
        <v>45586</v>
      </c>
      <c r="B85" s="33">
        <v>42824</v>
      </c>
      <c r="C85" s="90">
        <v>439</v>
      </c>
      <c r="O85" s="94">
        <v>45586</v>
      </c>
      <c r="P85" s="90">
        <v>439</v>
      </c>
    </row>
    <row r="86" spans="1:16" x14ac:dyDescent="0.3">
      <c r="A86" s="34">
        <v>45586</v>
      </c>
      <c r="B86" s="33">
        <v>21208</v>
      </c>
      <c r="C86" s="90">
        <v>636</v>
      </c>
      <c r="O86" s="93">
        <v>45586</v>
      </c>
      <c r="P86" s="90">
        <v>636</v>
      </c>
    </row>
    <row r="87" spans="1:16" x14ac:dyDescent="0.3">
      <c r="A87" s="34">
        <v>45586</v>
      </c>
      <c r="B87" s="33">
        <v>44321</v>
      </c>
      <c r="C87" s="90">
        <v>1484</v>
      </c>
      <c r="O87" s="94">
        <v>45586</v>
      </c>
      <c r="P87" s="90">
        <v>1484</v>
      </c>
    </row>
    <row r="88" spans="1:16" x14ac:dyDescent="0.3">
      <c r="A88" s="34">
        <v>45593</v>
      </c>
      <c r="B88" s="33">
        <v>13116</v>
      </c>
      <c r="C88" s="90">
        <v>576</v>
      </c>
      <c r="O88" s="93">
        <v>45593</v>
      </c>
      <c r="P88" s="90">
        <v>576</v>
      </c>
    </row>
    <row r="89" spans="1:16" x14ac:dyDescent="0.3">
      <c r="A89" s="34">
        <v>45593</v>
      </c>
      <c r="B89" s="33">
        <v>30214</v>
      </c>
      <c r="C89" s="90">
        <v>386</v>
      </c>
      <c r="O89" s="94">
        <v>45593</v>
      </c>
      <c r="P89" s="90">
        <v>386</v>
      </c>
    </row>
    <row r="90" spans="1:16" x14ac:dyDescent="0.3">
      <c r="A90" s="34">
        <v>45593</v>
      </c>
      <c r="B90" s="33">
        <v>15827</v>
      </c>
      <c r="C90" s="90">
        <v>37</v>
      </c>
      <c r="O90" s="93">
        <v>45593</v>
      </c>
      <c r="P90" s="90">
        <v>37</v>
      </c>
    </row>
    <row r="91" spans="1:16" x14ac:dyDescent="0.3">
      <c r="A91" s="34">
        <v>45593</v>
      </c>
      <c r="B91" s="33">
        <v>46643</v>
      </c>
      <c r="C91" s="90">
        <v>1657</v>
      </c>
      <c r="O91" s="94">
        <v>45593</v>
      </c>
      <c r="P91" s="90">
        <v>1657</v>
      </c>
    </row>
    <row r="92" spans="1:16" x14ac:dyDescent="0.3">
      <c r="A92" s="34">
        <v>45600</v>
      </c>
      <c r="B92" s="33">
        <v>36484</v>
      </c>
      <c r="C92" s="90">
        <v>1397</v>
      </c>
      <c r="O92" s="93">
        <v>45600</v>
      </c>
      <c r="P92" s="90">
        <v>1397</v>
      </c>
    </row>
    <row r="93" spans="1:16" x14ac:dyDescent="0.3">
      <c r="A93" s="34">
        <v>45600</v>
      </c>
      <c r="B93" s="33">
        <v>4996</v>
      </c>
      <c r="C93" s="90">
        <v>540</v>
      </c>
      <c r="O93" s="94">
        <v>45600</v>
      </c>
      <c r="P93" s="90">
        <v>540</v>
      </c>
    </row>
    <row r="94" spans="1:16" x14ac:dyDescent="0.3">
      <c r="A94" s="34">
        <v>45600</v>
      </c>
      <c r="B94" s="33">
        <v>36095</v>
      </c>
      <c r="C94" s="90">
        <v>1603</v>
      </c>
      <c r="O94" s="93">
        <v>45600</v>
      </c>
      <c r="P94" s="90">
        <v>1603</v>
      </c>
    </row>
    <row r="95" spans="1:16" x14ac:dyDescent="0.3">
      <c r="A95" s="34">
        <v>45600</v>
      </c>
      <c r="B95" s="33">
        <v>16443</v>
      </c>
      <c r="C95" s="90">
        <v>1044</v>
      </c>
      <c r="O95" s="94">
        <v>45600</v>
      </c>
      <c r="P95" s="90">
        <v>1044</v>
      </c>
    </row>
    <row r="96" spans="1:16" x14ac:dyDescent="0.3">
      <c r="A96" s="34">
        <v>45607</v>
      </c>
      <c r="B96" s="33">
        <v>47812</v>
      </c>
      <c r="C96" s="90">
        <v>902</v>
      </c>
      <c r="O96" s="93">
        <v>45607</v>
      </c>
      <c r="P96" s="90">
        <v>902</v>
      </c>
    </row>
    <row r="97" spans="1:16" x14ac:dyDescent="0.3">
      <c r="A97" s="34">
        <v>45607</v>
      </c>
      <c r="B97" s="33">
        <v>38452</v>
      </c>
      <c r="C97" s="90">
        <v>-106</v>
      </c>
      <c r="O97" s="94">
        <v>45607</v>
      </c>
      <c r="P97" s="90">
        <v>-106</v>
      </c>
    </row>
    <row r="98" spans="1:16" x14ac:dyDescent="0.3">
      <c r="A98" s="34">
        <v>45607</v>
      </c>
      <c r="B98" s="33">
        <v>30428</v>
      </c>
      <c r="C98" s="90">
        <v>1150</v>
      </c>
      <c r="O98" s="93">
        <v>45607</v>
      </c>
      <c r="P98" s="90">
        <v>1150</v>
      </c>
    </row>
    <row r="99" spans="1:16" x14ac:dyDescent="0.3">
      <c r="A99" s="34">
        <v>45607</v>
      </c>
      <c r="B99" s="33">
        <v>9269</v>
      </c>
      <c r="C99" s="90">
        <v>349</v>
      </c>
      <c r="O99" s="94">
        <v>45607</v>
      </c>
      <c r="P99" s="90">
        <v>349</v>
      </c>
    </row>
    <row r="100" spans="1:16" x14ac:dyDescent="0.3">
      <c r="A100" s="34">
        <v>45614</v>
      </c>
      <c r="B100" s="33">
        <v>29533</v>
      </c>
      <c r="C100" s="90">
        <v>-49</v>
      </c>
      <c r="O100" s="93">
        <v>45614</v>
      </c>
      <c r="P100" s="90">
        <v>-49</v>
      </c>
    </row>
    <row r="101" spans="1:16" x14ac:dyDescent="0.3">
      <c r="A101" s="34">
        <v>45614</v>
      </c>
      <c r="B101" s="33">
        <v>39997</v>
      </c>
      <c r="C101" s="90">
        <v>72</v>
      </c>
      <c r="O101" s="94">
        <v>45614</v>
      </c>
      <c r="P101" s="90">
        <v>72</v>
      </c>
    </row>
    <row r="102" spans="1:16" x14ac:dyDescent="0.3">
      <c r="A102" s="34">
        <v>45614</v>
      </c>
      <c r="B102" s="33">
        <v>5391</v>
      </c>
      <c r="C102" s="90">
        <v>445</v>
      </c>
      <c r="O102" s="93">
        <v>45614</v>
      </c>
      <c r="P102" s="90">
        <v>445</v>
      </c>
    </row>
    <row r="103" spans="1:16" x14ac:dyDescent="0.3">
      <c r="A103" s="34">
        <v>45614</v>
      </c>
      <c r="B103" s="33">
        <v>22373</v>
      </c>
      <c r="C103" s="90">
        <v>60</v>
      </c>
      <c r="O103" s="94">
        <v>45614</v>
      </c>
      <c r="P103" s="90">
        <v>60</v>
      </c>
    </row>
    <row r="104" spans="1:16" x14ac:dyDescent="0.3">
      <c r="A104" s="34">
        <v>45621</v>
      </c>
      <c r="B104" s="33">
        <v>1810</v>
      </c>
      <c r="C104" s="90">
        <v>1693</v>
      </c>
      <c r="O104" s="93">
        <v>45621</v>
      </c>
      <c r="P104" s="90">
        <v>1693</v>
      </c>
    </row>
    <row r="105" spans="1:16" x14ac:dyDescent="0.3">
      <c r="A105" s="34">
        <v>45621</v>
      </c>
      <c r="B105" s="33">
        <v>28498</v>
      </c>
      <c r="C105" s="90">
        <v>1332</v>
      </c>
      <c r="O105" s="94">
        <v>45621</v>
      </c>
      <c r="P105" s="90">
        <v>1332</v>
      </c>
    </row>
    <row r="106" spans="1:16" x14ac:dyDescent="0.3">
      <c r="A106" s="34">
        <v>45621</v>
      </c>
      <c r="B106" s="33">
        <v>39530</v>
      </c>
      <c r="C106" s="90">
        <v>98</v>
      </c>
      <c r="O106" s="93">
        <v>45621</v>
      </c>
      <c r="P106" s="90">
        <v>98</v>
      </c>
    </row>
    <row r="107" spans="1:16" x14ac:dyDescent="0.3">
      <c r="A107" s="34">
        <v>45621</v>
      </c>
      <c r="B107" s="33">
        <v>37876</v>
      </c>
      <c r="C107" s="90">
        <v>885</v>
      </c>
      <c r="O107" s="94">
        <v>45621</v>
      </c>
      <c r="P107" s="90">
        <v>885</v>
      </c>
    </row>
    <row r="108" spans="1:16" x14ac:dyDescent="0.3">
      <c r="A108" s="34">
        <v>45628</v>
      </c>
      <c r="B108" s="33">
        <v>36103</v>
      </c>
      <c r="C108" s="90">
        <v>1625</v>
      </c>
      <c r="O108" s="93">
        <v>45628</v>
      </c>
      <c r="P108" s="90">
        <v>1625</v>
      </c>
    </row>
    <row r="109" spans="1:16" x14ac:dyDescent="0.3">
      <c r="A109" s="34">
        <v>45628</v>
      </c>
      <c r="B109" s="33">
        <v>26103</v>
      </c>
      <c r="C109" s="90">
        <v>1706</v>
      </c>
      <c r="O109" s="94">
        <v>45628</v>
      </c>
      <c r="P109" s="90">
        <v>1706</v>
      </c>
    </row>
    <row r="110" spans="1:16" x14ac:dyDescent="0.3">
      <c r="A110" s="34">
        <v>45628</v>
      </c>
      <c r="B110" s="33">
        <v>3455</v>
      </c>
      <c r="C110" s="90">
        <v>1173</v>
      </c>
      <c r="O110" s="93">
        <v>45628</v>
      </c>
      <c r="P110" s="90">
        <v>1173</v>
      </c>
    </row>
    <row r="111" spans="1:16" x14ac:dyDescent="0.3">
      <c r="A111" s="34">
        <v>45628</v>
      </c>
      <c r="B111" s="33">
        <v>40888</v>
      </c>
      <c r="C111" s="90">
        <v>291</v>
      </c>
      <c r="O111" s="94">
        <v>45628</v>
      </c>
      <c r="P111" s="90">
        <v>291</v>
      </c>
    </row>
    <row r="112" spans="1:16" x14ac:dyDescent="0.3">
      <c r="A112" s="34">
        <v>45635</v>
      </c>
      <c r="B112" s="33">
        <v>22724</v>
      </c>
      <c r="C112" s="90">
        <v>1119</v>
      </c>
      <c r="O112" s="93">
        <v>45635</v>
      </c>
      <c r="P112" s="90">
        <v>1119</v>
      </c>
    </row>
    <row r="113" spans="1:16" x14ac:dyDescent="0.3">
      <c r="A113" s="34">
        <v>45635</v>
      </c>
      <c r="B113" s="33">
        <v>18601</v>
      </c>
      <c r="C113" s="90">
        <v>1373</v>
      </c>
      <c r="O113" s="94">
        <v>45635</v>
      </c>
      <c r="P113" s="90">
        <v>1373</v>
      </c>
    </row>
    <row r="114" spans="1:16" x14ac:dyDescent="0.3">
      <c r="A114" s="34">
        <v>45635</v>
      </c>
      <c r="B114" s="33">
        <v>20861</v>
      </c>
      <c r="C114" s="90">
        <v>1727</v>
      </c>
      <c r="O114" s="93">
        <v>45635</v>
      </c>
      <c r="P114" s="90">
        <v>1727</v>
      </c>
    </row>
    <row r="115" spans="1:16" x14ac:dyDescent="0.3">
      <c r="A115" s="34">
        <v>45635</v>
      </c>
      <c r="B115" s="33">
        <v>46625</v>
      </c>
      <c r="C115" s="90">
        <v>573</v>
      </c>
      <c r="O115" s="94">
        <v>45635</v>
      </c>
      <c r="P115" s="90">
        <v>573</v>
      </c>
    </row>
    <row r="116" spans="1:16" x14ac:dyDescent="0.3">
      <c r="A116" s="34">
        <v>45642</v>
      </c>
      <c r="B116" s="33">
        <v>20692</v>
      </c>
      <c r="C116" s="90">
        <v>1432</v>
      </c>
      <c r="O116" s="93">
        <v>45642</v>
      </c>
      <c r="P116" s="90">
        <v>1432</v>
      </c>
    </row>
    <row r="117" spans="1:16" x14ac:dyDescent="0.3">
      <c r="A117" s="34">
        <v>45642</v>
      </c>
      <c r="B117" s="33">
        <v>18656</v>
      </c>
      <c r="C117" s="90">
        <v>1377</v>
      </c>
      <c r="O117" s="94">
        <v>45642</v>
      </c>
      <c r="P117" s="90">
        <v>1377</v>
      </c>
    </row>
    <row r="118" spans="1:16" x14ac:dyDescent="0.3">
      <c r="A118" s="34">
        <v>45642</v>
      </c>
      <c r="B118" s="33">
        <v>13316</v>
      </c>
      <c r="C118" s="90">
        <v>1359</v>
      </c>
      <c r="O118" s="93">
        <v>45642</v>
      </c>
      <c r="P118" s="90">
        <v>1359</v>
      </c>
    </row>
    <row r="119" spans="1:16" x14ac:dyDescent="0.3">
      <c r="A119" s="34">
        <v>45642</v>
      </c>
      <c r="B119" s="33">
        <v>49558</v>
      </c>
      <c r="C119" s="90">
        <v>876</v>
      </c>
      <c r="O119" s="94">
        <v>45642</v>
      </c>
      <c r="P119" s="90">
        <v>876</v>
      </c>
    </row>
    <row r="120" spans="1:16" x14ac:dyDescent="0.3">
      <c r="A120" s="34">
        <v>45649</v>
      </c>
      <c r="B120" s="33">
        <v>4683</v>
      </c>
      <c r="C120" s="90">
        <v>684</v>
      </c>
      <c r="O120" s="93">
        <v>45649</v>
      </c>
      <c r="P120" s="90">
        <v>684</v>
      </c>
    </row>
    <row r="121" spans="1:16" x14ac:dyDescent="0.3">
      <c r="A121" s="34">
        <v>45649</v>
      </c>
      <c r="B121" s="33">
        <v>47502</v>
      </c>
      <c r="C121" s="90">
        <v>730</v>
      </c>
      <c r="O121" s="94">
        <v>45649</v>
      </c>
      <c r="P121" s="90">
        <v>730</v>
      </c>
    </row>
    <row r="122" spans="1:16" x14ac:dyDescent="0.3">
      <c r="A122" s="34">
        <v>45649</v>
      </c>
      <c r="B122" s="33">
        <v>35359</v>
      </c>
      <c r="C122" s="90">
        <v>911</v>
      </c>
      <c r="O122" s="93">
        <v>45649</v>
      </c>
      <c r="P122" s="90">
        <v>911</v>
      </c>
    </row>
    <row r="123" spans="1:16" x14ac:dyDescent="0.3">
      <c r="A123" s="34">
        <v>45649</v>
      </c>
      <c r="B123" s="33">
        <v>14154</v>
      </c>
      <c r="C123" s="90">
        <v>1589</v>
      </c>
      <c r="O123" s="94">
        <v>45649</v>
      </c>
      <c r="P123" s="90">
        <v>1589</v>
      </c>
    </row>
    <row r="124" spans="1:16" x14ac:dyDescent="0.3">
      <c r="A124" s="34">
        <v>45656</v>
      </c>
      <c r="B124" s="33">
        <v>4313</v>
      </c>
      <c r="C124" s="90">
        <v>1765</v>
      </c>
      <c r="O124" s="93">
        <v>45656</v>
      </c>
      <c r="P124" s="90">
        <v>1765</v>
      </c>
    </row>
    <row r="125" spans="1:16" x14ac:dyDescent="0.3">
      <c r="A125" s="34">
        <v>45656</v>
      </c>
      <c r="B125" s="33">
        <v>25140</v>
      </c>
      <c r="C125" s="90">
        <v>1776</v>
      </c>
      <c r="O125" s="94">
        <v>45656</v>
      </c>
      <c r="P125" s="90">
        <v>1776</v>
      </c>
    </row>
    <row r="126" spans="1:16" x14ac:dyDescent="0.3">
      <c r="A126" s="34">
        <v>45656</v>
      </c>
      <c r="B126" s="33">
        <v>9118</v>
      </c>
      <c r="C126" s="90">
        <v>1529</v>
      </c>
      <c r="O126" s="93">
        <v>45656</v>
      </c>
      <c r="P126" s="90">
        <v>1529</v>
      </c>
    </row>
    <row r="127" spans="1:16" x14ac:dyDescent="0.3">
      <c r="A127" s="34">
        <v>45656</v>
      </c>
      <c r="B127" s="33">
        <v>39931</v>
      </c>
      <c r="C127" s="90">
        <v>1460</v>
      </c>
      <c r="O127" s="94">
        <v>45656</v>
      </c>
      <c r="P127" s="90">
        <v>1460</v>
      </c>
    </row>
    <row r="128" spans="1:16" x14ac:dyDescent="0.3">
      <c r="A128" s="34">
        <v>45663</v>
      </c>
      <c r="B128" s="33">
        <v>37132</v>
      </c>
      <c r="C128" s="90">
        <v>903</v>
      </c>
      <c r="O128" s="93">
        <v>45663</v>
      </c>
      <c r="P128" s="90">
        <v>903</v>
      </c>
    </row>
    <row r="129" spans="1:16" x14ac:dyDescent="0.3">
      <c r="A129" s="34">
        <v>45663</v>
      </c>
      <c r="B129" s="33">
        <v>17951</v>
      </c>
      <c r="C129" s="90">
        <v>620</v>
      </c>
      <c r="O129" s="94">
        <v>45663</v>
      </c>
      <c r="P129" s="90">
        <v>620</v>
      </c>
    </row>
    <row r="130" spans="1:16" x14ac:dyDescent="0.3">
      <c r="A130" s="34">
        <v>45663</v>
      </c>
      <c r="B130" s="33">
        <v>2798</v>
      </c>
      <c r="C130" s="90">
        <v>1188</v>
      </c>
      <c r="O130" s="93">
        <v>45663</v>
      </c>
      <c r="P130" s="90">
        <v>1188</v>
      </c>
    </row>
    <row r="131" spans="1:16" x14ac:dyDescent="0.3">
      <c r="A131" s="34">
        <v>45663</v>
      </c>
      <c r="B131" s="33">
        <v>15045</v>
      </c>
      <c r="C131" s="90">
        <v>846</v>
      </c>
      <c r="O131" s="94">
        <v>45663</v>
      </c>
      <c r="P131" s="90">
        <v>846</v>
      </c>
    </row>
    <row r="132" spans="1:16" x14ac:dyDescent="0.3">
      <c r="A132" s="34">
        <v>45670</v>
      </c>
      <c r="B132" s="33">
        <v>14548</v>
      </c>
      <c r="C132" s="90">
        <v>1722</v>
      </c>
      <c r="O132" s="93">
        <v>45670</v>
      </c>
      <c r="P132" s="90">
        <v>1722</v>
      </c>
    </row>
    <row r="133" spans="1:16" x14ac:dyDescent="0.3">
      <c r="A133" s="34">
        <v>45670</v>
      </c>
      <c r="B133" s="33">
        <v>45708</v>
      </c>
      <c r="C133" s="90">
        <v>298</v>
      </c>
      <c r="O133" s="94">
        <v>45670</v>
      </c>
      <c r="P133" s="90">
        <v>298</v>
      </c>
    </row>
    <row r="134" spans="1:16" x14ac:dyDescent="0.3">
      <c r="A134" s="34">
        <v>45670</v>
      </c>
      <c r="B134" s="33">
        <v>12350</v>
      </c>
      <c r="C134" s="90">
        <v>-144</v>
      </c>
      <c r="O134" s="93">
        <v>45670</v>
      </c>
      <c r="P134" s="90">
        <v>-144</v>
      </c>
    </row>
    <row r="135" spans="1:16" x14ac:dyDescent="0.3">
      <c r="A135" s="34">
        <v>45670</v>
      </c>
      <c r="B135" s="33">
        <v>40868</v>
      </c>
      <c r="C135" s="90">
        <v>901</v>
      </c>
      <c r="O135" s="94">
        <v>45670</v>
      </c>
      <c r="P135" s="90">
        <v>901</v>
      </c>
    </row>
    <row r="136" spans="1:16" x14ac:dyDescent="0.3">
      <c r="A136" s="34">
        <v>45677</v>
      </c>
      <c r="B136" s="33">
        <v>43122</v>
      </c>
      <c r="C136" s="90">
        <v>1572</v>
      </c>
      <c r="O136" s="93">
        <v>45677</v>
      </c>
      <c r="P136" s="90">
        <v>1572</v>
      </c>
    </row>
    <row r="137" spans="1:16" x14ac:dyDescent="0.3">
      <c r="A137" s="34">
        <v>45677</v>
      </c>
      <c r="B137" s="33">
        <v>23853</v>
      </c>
      <c r="C137" s="90">
        <v>427</v>
      </c>
      <c r="O137" s="94">
        <v>45677</v>
      </c>
      <c r="P137" s="90">
        <v>427</v>
      </c>
    </row>
    <row r="138" spans="1:16" x14ac:dyDescent="0.3">
      <c r="A138" s="34">
        <v>45677</v>
      </c>
      <c r="B138" s="33">
        <v>45380</v>
      </c>
      <c r="C138" s="90">
        <v>891</v>
      </c>
      <c r="O138" s="93">
        <v>45677</v>
      </c>
      <c r="P138" s="90">
        <v>891</v>
      </c>
    </row>
    <row r="139" spans="1:16" x14ac:dyDescent="0.3">
      <c r="A139" s="34">
        <v>45677</v>
      </c>
      <c r="B139" s="33">
        <v>7705</v>
      </c>
      <c r="C139" s="90">
        <v>724</v>
      </c>
      <c r="O139" s="94">
        <v>45677</v>
      </c>
      <c r="P139" s="90">
        <v>724</v>
      </c>
    </row>
    <row r="140" spans="1:16" x14ac:dyDescent="0.3">
      <c r="A140" s="34">
        <v>45684</v>
      </c>
      <c r="B140" s="33">
        <v>25525</v>
      </c>
      <c r="C140" s="90">
        <v>-166</v>
      </c>
      <c r="O140" s="93">
        <v>45684</v>
      </c>
      <c r="P140" s="90">
        <v>-166</v>
      </c>
    </row>
    <row r="141" spans="1:16" x14ac:dyDescent="0.3">
      <c r="A141" s="34">
        <v>45684</v>
      </c>
      <c r="B141" s="33">
        <v>20560</v>
      </c>
      <c r="C141" s="90">
        <v>898</v>
      </c>
      <c r="O141" s="94">
        <v>45684</v>
      </c>
      <c r="P141" s="90">
        <v>898</v>
      </c>
    </row>
    <row r="142" spans="1:16" x14ac:dyDescent="0.3">
      <c r="A142" s="34">
        <v>45684</v>
      </c>
      <c r="B142" s="33">
        <v>19119</v>
      </c>
      <c r="C142" s="90">
        <v>1426</v>
      </c>
      <c r="O142" s="93">
        <v>45684</v>
      </c>
      <c r="P142" s="90">
        <v>1426</v>
      </c>
    </row>
    <row r="143" spans="1:16" x14ac:dyDescent="0.3">
      <c r="A143" s="34">
        <v>45684</v>
      </c>
      <c r="B143" s="33">
        <v>43999</v>
      </c>
      <c r="C143" s="90">
        <v>1225</v>
      </c>
      <c r="O143" s="94">
        <v>45684</v>
      </c>
      <c r="P143" s="90">
        <v>1225</v>
      </c>
    </row>
    <row r="144" spans="1:16" x14ac:dyDescent="0.3">
      <c r="A144" s="34">
        <v>45691</v>
      </c>
      <c r="B144" s="33">
        <v>10825</v>
      </c>
      <c r="C144" s="90">
        <v>1080</v>
      </c>
      <c r="O144" s="93">
        <v>45691</v>
      </c>
      <c r="P144" s="90">
        <v>1080</v>
      </c>
    </row>
    <row r="145" spans="1:16" x14ac:dyDescent="0.3">
      <c r="A145" s="34">
        <v>45691</v>
      </c>
      <c r="B145" s="33">
        <v>40323</v>
      </c>
      <c r="C145" s="90">
        <v>748</v>
      </c>
      <c r="O145" s="94">
        <v>45691</v>
      </c>
      <c r="P145" s="90">
        <v>748</v>
      </c>
    </row>
    <row r="146" spans="1:16" x14ac:dyDescent="0.3">
      <c r="A146" s="34">
        <v>45691</v>
      </c>
      <c r="B146" s="33">
        <v>48270</v>
      </c>
      <c r="C146" s="90">
        <v>569</v>
      </c>
      <c r="O146" s="93">
        <v>45691</v>
      </c>
      <c r="P146" s="90">
        <v>569</v>
      </c>
    </row>
    <row r="147" spans="1:16" x14ac:dyDescent="0.3">
      <c r="A147" s="34">
        <v>45691</v>
      </c>
      <c r="B147" s="33">
        <v>18001</v>
      </c>
      <c r="C147" s="90">
        <v>-203</v>
      </c>
      <c r="O147" s="94">
        <v>45691</v>
      </c>
      <c r="P147" s="90">
        <v>-203</v>
      </c>
    </row>
    <row r="148" spans="1:16" x14ac:dyDescent="0.3">
      <c r="A148" s="34">
        <v>45698</v>
      </c>
      <c r="B148" s="33">
        <v>3314</v>
      </c>
      <c r="C148" s="90">
        <v>1723</v>
      </c>
      <c r="O148" s="93">
        <v>45698</v>
      </c>
      <c r="P148" s="90">
        <v>1723</v>
      </c>
    </row>
    <row r="149" spans="1:16" x14ac:dyDescent="0.3">
      <c r="A149" s="34">
        <v>45698</v>
      </c>
      <c r="B149" s="33">
        <v>23489</v>
      </c>
      <c r="C149" s="90">
        <v>912</v>
      </c>
      <c r="O149" s="94">
        <v>45698</v>
      </c>
      <c r="P149" s="90">
        <v>912</v>
      </c>
    </row>
    <row r="150" spans="1:16" x14ac:dyDescent="0.3">
      <c r="A150" s="34">
        <v>45698</v>
      </c>
      <c r="B150" s="33">
        <v>42832</v>
      </c>
      <c r="C150" s="90">
        <v>1202</v>
      </c>
      <c r="O150" s="93">
        <v>45698</v>
      </c>
      <c r="P150" s="90">
        <v>1202</v>
      </c>
    </row>
    <row r="151" spans="1:16" x14ac:dyDescent="0.3">
      <c r="A151" s="34">
        <v>45698</v>
      </c>
      <c r="B151" s="33">
        <v>24494</v>
      </c>
      <c r="C151" s="90">
        <v>1444</v>
      </c>
      <c r="O151" s="94">
        <v>45698</v>
      </c>
      <c r="P151" s="90">
        <v>1444</v>
      </c>
    </row>
    <row r="152" spans="1:16" x14ac:dyDescent="0.3">
      <c r="A152" s="34">
        <v>45705</v>
      </c>
      <c r="B152" s="33">
        <v>44097</v>
      </c>
      <c r="C152" s="90">
        <v>965</v>
      </c>
      <c r="O152" s="93">
        <v>45705</v>
      </c>
      <c r="P152" s="90">
        <v>965</v>
      </c>
    </row>
    <row r="153" spans="1:16" x14ac:dyDescent="0.3">
      <c r="A153" s="34">
        <v>45705</v>
      </c>
      <c r="B153" s="33">
        <v>31853</v>
      </c>
      <c r="C153" s="90">
        <v>1590</v>
      </c>
      <c r="O153" s="94">
        <v>45705</v>
      </c>
      <c r="P153" s="90">
        <v>1590</v>
      </c>
    </row>
    <row r="154" spans="1:16" x14ac:dyDescent="0.3">
      <c r="A154" s="34">
        <v>45705</v>
      </c>
      <c r="B154" s="33">
        <v>37636</v>
      </c>
      <c r="C154" s="90">
        <v>-37</v>
      </c>
      <c r="O154" s="93">
        <v>45705</v>
      </c>
      <c r="P154" s="90">
        <v>-37</v>
      </c>
    </row>
    <row r="155" spans="1:16" x14ac:dyDescent="0.3">
      <c r="A155" s="34">
        <v>45705</v>
      </c>
      <c r="B155" s="33">
        <v>22996</v>
      </c>
      <c r="C155" s="90">
        <v>1175</v>
      </c>
      <c r="O155" s="94">
        <v>45705</v>
      </c>
      <c r="P155" s="90">
        <v>1175</v>
      </c>
    </row>
    <row r="156" spans="1:16" x14ac:dyDescent="0.3">
      <c r="A156" s="34">
        <v>45712</v>
      </c>
      <c r="B156" s="33">
        <v>49772</v>
      </c>
      <c r="C156" s="90">
        <v>1375</v>
      </c>
      <c r="O156" s="93">
        <v>45712</v>
      </c>
      <c r="P156" s="90">
        <v>1375</v>
      </c>
    </row>
    <row r="157" spans="1:16" x14ac:dyDescent="0.3">
      <c r="A157" s="34">
        <v>45712</v>
      </c>
      <c r="B157" s="33">
        <v>22713</v>
      </c>
      <c r="C157" s="90">
        <v>1707</v>
      </c>
      <c r="O157" s="94">
        <v>45712</v>
      </c>
      <c r="P157" s="90">
        <v>1707</v>
      </c>
    </row>
    <row r="158" spans="1:16" x14ac:dyDescent="0.3">
      <c r="A158" s="34">
        <v>45712</v>
      </c>
      <c r="B158" s="33">
        <v>8718</v>
      </c>
      <c r="C158" s="90">
        <v>708</v>
      </c>
      <c r="O158" s="93">
        <v>45712</v>
      </c>
      <c r="P158" s="90">
        <v>708</v>
      </c>
    </row>
    <row r="159" spans="1:16" x14ac:dyDescent="0.3">
      <c r="A159" s="34">
        <v>45712</v>
      </c>
      <c r="B159" s="33">
        <v>39031</v>
      </c>
      <c r="C159" s="90">
        <v>1016</v>
      </c>
      <c r="O159" s="94">
        <v>45712</v>
      </c>
      <c r="P159" s="90">
        <v>1016</v>
      </c>
    </row>
    <row r="160" spans="1:16" x14ac:dyDescent="0.3">
      <c r="A160" s="34">
        <v>45719</v>
      </c>
      <c r="B160" s="33">
        <v>33799</v>
      </c>
      <c r="C160" s="90">
        <v>1315</v>
      </c>
      <c r="O160" s="93">
        <v>45719</v>
      </c>
      <c r="P160" s="90">
        <v>1315</v>
      </c>
    </row>
    <row r="161" spans="1:16" x14ac:dyDescent="0.3">
      <c r="A161" s="34">
        <v>45719</v>
      </c>
      <c r="B161" s="33">
        <v>20553</v>
      </c>
      <c r="C161" s="90">
        <v>-119</v>
      </c>
      <c r="O161" s="94">
        <v>45719</v>
      </c>
      <c r="P161" s="90">
        <v>-119</v>
      </c>
    </row>
    <row r="162" spans="1:16" x14ac:dyDescent="0.3">
      <c r="A162" s="34">
        <v>45719</v>
      </c>
      <c r="B162" s="33">
        <v>10002</v>
      </c>
      <c r="C162" s="90">
        <v>899</v>
      </c>
      <c r="O162" s="93">
        <v>45719</v>
      </c>
      <c r="P162" s="90">
        <v>899</v>
      </c>
    </row>
    <row r="163" spans="1:16" x14ac:dyDescent="0.3">
      <c r="A163" s="34">
        <v>45719</v>
      </c>
      <c r="B163" s="33">
        <v>30987</v>
      </c>
      <c r="C163" s="90">
        <v>315</v>
      </c>
      <c r="O163" s="94">
        <v>45719</v>
      </c>
      <c r="P163" s="90">
        <v>315</v>
      </c>
    </row>
    <row r="164" spans="1:16" x14ac:dyDescent="0.3">
      <c r="A164" s="34">
        <v>45726</v>
      </c>
      <c r="B164" s="33">
        <v>6296</v>
      </c>
      <c r="C164" s="90">
        <v>212</v>
      </c>
      <c r="O164" s="93">
        <v>45726</v>
      </c>
      <c r="P164" s="90">
        <v>212</v>
      </c>
    </row>
    <row r="165" spans="1:16" x14ac:dyDescent="0.3">
      <c r="A165" s="34">
        <v>45726</v>
      </c>
      <c r="B165" s="33">
        <v>21539</v>
      </c>
      <c r="C165" s="90">
        <v>908</v>
      </c>
      <c r="O165" s="94">
        <v>45726</v>
      </c>
      <c r="P165" s="90">
        <v>908</v>
      </c>
    </row>
    <row r="166" spans="1:16" x14ac:dyDescent="0.3">
      <c r="A166" s="34">
        <v>45726</v>
      </c>
      <c r="B166" s="33">
        <v>14722</v>
      </c>
      <c r="C166" s="90">
        <v>1350</v>
      </c>
      <c r="O166" s="93">
        <v>45726</v>
      </c>
      <c r="P166" s="90">
        <v>1350</v>
      </c>
    </row>
    <row r="167" spans="1:16" x14ac:dyDescent="0.3">
      <c r="A167" s="34">
        <v>45726</v>
      </c>
      <c r="B167" s="33">
        <v>11383</v>
      </c>
      <c r="C167" s="90">
        <v>1242</v>
      </c>
      <c r="O167" s="94">
        <v>45726</v>
      </c>
      <c r="P167" s="90">
        <v>1242</v>
      </c>
    </row>
    <row r="168" spans="1:16" x14ac:dyDescent="0.3">
      <c r="A168" s="34">
        <v>45733</v>
      </c>
      <c r="B168" s="33">
        <v>9480</v>
      </c>
      <c r="C168" s="90">
        <v>680</v>
      </c>
      <c r="O168" s="93">
        <v>45733</v>
      </c>
      <c r="P168" s="90">
        <v>680</v>
      </c>
    </row>
    <row r="169" spans="1:16" x14ac:dyDescent="0.3">
      <c r="A169" s="34">
        <v>45733</v>
      </c>
      <c r="B169" s="33">
        <v>29116</v>
      </c>
      <c r="C169" s="90">
        <v>1116</v>
      </c>
      <c r="O169" s="94">
        <v>45733</v>
      </c>
      <c r="P169" s="90">
        <v>1116</v>
      </c>
    </row>
    <row r="170" spans="1:16" x14ac:dyDescent="0.3">
      <c r="A170" s="34">
        <v>45733</v>
      </c>
      <c r="B170" s="33">
        <v>14068</v>
      </c>
      <c r="C170" s="90">
        <v>861</v>
      </c>
      <c r="O170" s="93">
        <v>45733</v>
      </c>
      <c r="P170" s="90">
        <v>861</v>
      </c>
    </row>
    <row r="171" spans="1:16" x14ac:dyDescent="0.3">
      <c r="A171" s="34">
        <v>45733</v>
      </c>
      <c r="B171" s="33">
        <v>35801</v>
      </c>
      <c r="C171" s="90">
        <v>1385</v>
      </c>
      <c r="O171" s="94">
        <v>45733</v>
      </c>
      <c r="P171" s="90">
        <v>1385</v>
      </c>
    </row>
    <row r="172" spans="1:16" x14ac:dyDescent="0.3">
      <c r="A172" s="34">
        <v>45740</v>
      </c>
      <c r="B172" s="33">
        <v>49077</v>
      </c>
      <c r="C172" s="90">
        <v>461</v>
      </c>
      <c r="O172" s="93">
        <v>45740</v>
      </c>
      <c r="P172" s="90">
        <v>461</v>
      </c>
    </row>
    <row r="173" spans="1:16" x14ac:dyDescent="0.3">
      <c r="A173" s="34">
        <v>45740</v>
      </c>
      <c r="B173" s="33">
        <v>21453</v>
      </c>
      <c r="C173" s="90">
        <v>474</v>
      </c>
      <c r="O173" s="94">
        <v>45740</v>
      </c>
      <c r="P173" s="90">
        <v>474</v>
      </c>
    </row>
    <row r="174" spans="1:16" x14ac:dyDescent="0.3">
      <c r="A174" s="34">
        <v>45740</v>
      </c>
      <c r="B174" s="33">
        <v>21061</v>
      </c>
      <c r="C174" s="90">
        <v>292</v>
      </c>
      <c r="O174" s="93">
        <v>45740</v>
      </c>
      <c r="P174" s="90">
        <v>292</v>
      </c>
    </row>
    <row r="175" spans="1:16" x14ac:dyDescent="0.3">
      <c r="A175" s="34">
        <v>45740</v>
      </c>
      <c r="B175" s="33">
        <v>20059</v>
      </c>
      <c r="C175" s="90">
        <v>389</v>
      </c>
      <c r="O175" s="94">
        <v>45740</v>
      </c>
      <c r="P175" s="90">
        <v>389</v>
      </c>
    </row>
    <row r="176" spans="1:16" x14ac:dyDescent="0.3">
      <c r="A176" s="34">
        <v>45747</v>
      </c>
      <c r="B176" s="33">
        <v>23140</v>
      </c>
      <c r="C176" s="90">
        <v>641</v>
      </c>
      <c r="O176" s="93">
        <v>45747</v>
      </c>
      <c r="P176" s="90">
        <v>641</v>
      </c>
    </row>
    <row r="177" spans="1:16" x14ac:dyDescent="0.3">
      <c r="A177" s="34">
        <v>45747</v>
      </c>
      <c r="B177" s="33">
        <v>23461</v>
      </c>
      <c r="C177" s="90">
        <v>514</v>
      </c>
      <c r="O177" s="94">
        <v>45747</v>
      </c>
      <c r="P177" s="90">
        <v>514</v>
      </c>
    </row>
    <row r="178" spans="1:16" x14ac:dyDescent="0.3">
      <c r="A178" s="34">
        <v>45747</v>
      </c>
      <c r="B178" s="33">
        <v>11805</v>
      </c>
      <c r="C178" s="90">
        <v>1676</v>
      </c>
      <c r="O178" s="93">
        <v>45747</v>
      </c>
      <c r="P178" s="90">
        <v>1676</v>
      </c>
    </row>
    <row r="179" spans="1:16" x14ac:dyDescent="0.3">
      <c r="A179" s="34">
        <v>45747</v>
      </c>
      <c r="B179" s="33">
        <v>15969</v>
      </c>
      <c r="C179" s="90">
        <v>1467</v>
      </c>
      <c r="O179" s="94">
        <v>45747</v>
      </c>
      <c r="P179" s="90">
        <v>1467</v>
      </c>
    </row>
    <row r="180" spans="1:16" x14ac:dyDescent="0.3">
      <c r="A180" s="34">
        <v>45754</v>
      </c>
      <c r="B180" s="33">
        <v>2436</v>
      </c>
      <c r="C180" s="90">
        <v>167</v>
      </c>
      <c r="O180" s="93">
        <v>45754</v>
      </c>
      <c r="P180" s="90">
        <v>167</v>
      </c>
    </row>
    <row r="181" spans="1:16" x14ac:dyDescent="0.3">
      <c r="A181" s="34">
        <v>45754</v>
      </c>
      <c r="B181" s="33">
        <v>47603</v>
      </c>
      <c r="C181" s="90">
        <v>1029</v>
      </c>
      <c r="O181" s="94">
        <v>45754</v>
      </c>
      <c r="P181" s="90">
        <v>1029</v>
      </c>
    </row>
    <row r="182" spans="1:16" x14ac:dyDescent="0.3">
      <c r="A182" s="34">
        <v>45754</v>
      </c>
      <c r="B182" s="33">
        <v>42964</v>
      </c>
      <c r="C182" s="90">
        <v>1007</v>
      </c>
      <c r="O182" s="93">
        <v>45754</v>
      </c>
      <c r="P182" s="90">
        <v>1007</v>
      </c>
    </row>
    <row r="183" spans="1:16" x14ac:dyDescent="0.3">
      <c r="A183" s="34">
        <v>45754</v>
      </c>
      <c r="B183" s="33">
        <v>39923</v>
      </c>
      <c r="C183" s="90">
        <v>209</v>
      </c>
      <c r="O183" s="94">
        <v>45754</v>
      </c>
      <c r="P183" s="90">
        <v>209</v>
      </c>
    </row>
    <row r="184" spans="1:16" x14ac:dyDescent="0.3">
      <c r="A184" s="34">
        <v>45761</v>
      </c>
      <c r="B184" s="33">
        <v>2293</v>
      </c>
      <c r="C184" s="90">
        <v>-160</v>
      </c>
      <c r="O184" s="93">
        <v>45761</v>
      </c>
      <c r="P184" s="90">
        <v>-160</v>
      </c>
    </row>
    <row r="185" spans="1:16" x14ac:dyDescent="0.3">
      <c r="A185" s="34">
        <v>45761</v>
      </c>
      <c r="B185" s="33">
        <v>25920</v>
      </c>
      <c r="C185" s="90">
        <v>-175</v>
      </c>
      <c r="O185" s="94">
        <v>45761</v>
      </c>
      <c r="P185" s="90">
        <v>-175</v>
      </c>
    </row>
    <row r="186" spans="1:16" x14ac:dyDescent="0.3">
      <c r="A186" s="34">
        <v>45761</v>
      </c>
      <c r="B186" s="33">
        <v>11035</v>
      </c>
      <c r="C186" s="90">
        <v>53</v>
      </c>
      <c r="O186" s="93">
        <v>45761</v>
      </c>
      <c r="P186" s="90">
        <v>53</v>
      </c>
    </row>
    <row r="187" spans="1:16" x14ac:dyDescent="0.3">
      <c r="A187" s="34">
        <v>45761</v>
      </c>
      <c r="B187" s="33">
        <v>20733</v>
      </c>
      <c r="C187" s="90">
        <v>145</v>
      </c>
      <c r="O187" s="94">
        <v>45761</v>
      </c>
      <c r="P187" s="90">
        <v>145</v>
      </c>
    </row>
    <row r="188" spans="1:16" x14ac:dyDescent="0.3">
      <c r="A188" s="34">
        <v>45768</v>
      </c>
      <c r="B188" s="33">
        <v>18693</v>
      </c>
      <c r="C188" s="90">
        <v>603</v>
      </c>
      <c r="O188" s="93">
        <v>45768</v>
      </c>
      <c r="P188" s="90">
        <v>603</v>
      </c>
    </row>
    <row r="189" spans="1:16" x14ac:dyDescent="0.3">
      <c r="A189" s="34">
        <v>45768</v>
      </c>
      <c r="B189" s="33">
        <v>7875</v>
      </c>
      <c r="C189" s="90">
        <v>1045</v>
      </c>
      <c r="O189" s="94">
        <v>45768</v>
      </c>
      <c r="P189" s="90">
        <v>1045</v>
      </c>
    </row>
    <row r="190" spans="1:16" x14ac:dyDescent="0.3">
      <c r="A190" s="34">
        <v>45768</v>
      </c>
      <c r="B190" s="33">
        <v>8471</v>
      </c>
      <c r="C190" s="90">
        <v>759</v>
      </c>
      <c r="O190" s="93">
        <v>45768</v>
      </c>
      <c r="P190" s="90">
        <v>759</v>
      </c>
    </row>
    <row r="191" spans="1:16" x14ac:dyDescent="0.3">
      <c r="A191" s="34">
        <v>45768</v>
      </c>
      <c r="B191" s="33">
        <v>14090</v>
      </c>
      <c r="C191" s="90">
        <v>1633</v>
      </c>
      <c r="O191" s="94">
        <v>45768</v>
      </c>
      <c r="P191" s="90">
        <v>1633</v>
      </c>
    </row>
    <row r="192" spans="1:16" x14ac:dyDescent="0.3">
      <c r="A192" s="34">
        <v>45775</v>
      </c>
      <c r="B192" s="33">
        <v>14216</v>
      </c>
      <c r="C192" s="90">
        <v>1539</v>
      </c>
      <c r="O192" s="93">
        <v>45775</v>
      </c>
      <c r="P192" s="90">
        <v>1539</v>
      </c>
    </row>
    <row r="193" spans="1:16" x14ac:dyDescent="0.3">
      <c r="A193" s="34">
        <v>45775</v>
      </c>
      <c r="B193" s="33">
        <v>3582</v>
      </c>
      <c r="C193" s="90">
        <v>453</v>
      </c>
      <c r="O193" s="94">
        <v>45775</v>
      </c>
      <c r="P193" s="90">
        <v>453</v>
      </c>
    </row>
    <row r="194" spans="1:16" x14ac:dyDescent="0.3">
      <c r="A194" s="34">
        <v>45775</v>
      </c>
      <c r="B194" s="33">
        <v>32500</v>
      </c>
      <c r="C194" s="90">
        <v>948</v>
      </c>
      <c r="O194" s="93">
        <v>45775</v>
      </c>
      <c r="P194" s="90">
        <v>948</v>
      </c>
    </row>
    <row r="195" spans="1:16" x14ac:dyDescent="0.3">
      <c r="A195" s="34">
        <v>45775</v>
      </c>
      <c r="B195" s="33">
        <v>6832</v>
      </c>
      <c r="C195" s="90">
        <v>637</v>
      </c>
      <c r="O195" s="94">
        <v>45775</v>
      </c>
      <c r="P195" s="90">
        <v>637</v>
      </c>
    </row>
    <row r="196" spans="1:16" x14ac:dyDescent="0.3">
      <c r="A196" s="34">
        <v>45782</v>
      </c>
      <c r="B196" s="33">
        <v>33381</v>
      </c>
      <c r="C196" s="90">
        <v>1881</v>
      </c>
      <c r="O196" s="93">
        <v>45782</v>
      </c>
      <c r="P196" s="90">
        <v>1881</v>
      </c>
    </row>
    <row r="197" spans="1:16" x14ac:dyDescent="0.3">
      <c r="A197" s="34">
        <v>45782</v>
      </c>
      <c r="B197" s="33">
        <v>48419</v>
      </c>
      <c r="C197" s="90">
        <v>339</v>
      </c>
      <c r="O197" s="94">
        <v>45782</v>
      </c>
      <c r="P197" s="90">
        <v>339</v>
      </c>
    </row>
    <row r="198" spans="1:16" x14ac:dyDescent="0.3">
      <c r="A198" s="34">
        <v>45782</v>
      </c>
      <c r="B198" s="33">
        <v>16149</v>
      </c>
      <c r="C198" s="90">
        <v>1510</v>
      </c>
      <c r="O198" s="93">
        <v>45782</v>
      </c>
      <c r="P198" s="90">
        <v>1510</v>
      </c>
    </row>
    <row r="199" spans="1:16" x14ac:dyDescent="0.3">
      <c r="A199" s="34">
        <v>45782</v>
      </c>
      <c r="B199" s="33">
        <v>7541</v>
      </c>
      <c r="C199" s="90">
        <v>864</v>
      </c>
      <c r="O199" s="94">
        <v>45782</v>
      </c>
      <c r="P199" s="90">
        <v>864</v>
      </c>
    </row>
    <row r="200" spans="1:16" x14ac:dyDescent="0.3">
      <c r="A200" s="34">
        <v>45789</v>
      </c>
      <c r="B200" s="33">
        <v>20042</v>
      </c>
      <c r="C200" s="90">
        <v>1656</v>
      </c>
      <c r="O200" s="93">
        <v>45789</v>
      </c>
      <c r="P200" s="90">
        <v>1656</v>
      </c>
    </row>
    <row r="201" spans="1:16" x14ac:dyDescent="0.3">
      <c r="A201" s="34">
        <v>45789</v>
      </c>
      <c r="B201" s="33">
        <v>49400</v>
      </c>
      <c r="C201" s="90">
        <v>407</v>
      </c>
      <c r="O201" s="94">
        <v>45789</v>
      </c>
      <c r="P201" s="90">
        <v>407</v>
      </c>
    </row>
    <row r="202" spans="1:16" x14ac:dyDescent="0.3">
      <c r="A202" s="34">
        <v>45789</v>
      </c>
      <c r="B202" s="33">
        <v>4007</v>
      </c>
      <c r="C202" s="90">
        <v>269</v>
      </c>
      <c r="O202" s="93">
        <v>45789</v>
      </c>
      <c r="P202" s="90">
        <v>269</v>
      </c>
    </row>
    <row r="203" spans="1:16" x14ac:dyDescent="0.3">
      <c r="A203" s="34">
        <v>45789</v>
      </c>
      <c r="B203" s="33">
        <v>12174</v>
      </c>
      <c r="C203" s="90">
        <v>-337</v>
      </c>
      <c r="O203" s="94">
        <v>45789</v>
      </c>
      <c r="P203" s="90">
        <v>-337</v>
      </c>
    </row>
  </sheetData>
  <mergeCells count="2">
    <mergeCell ref="A1:C1"/>
    <mergeCell ref="O1:P1"/>
  </mergeCells>
  <phoneticPr fontId="19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123F6-EF71-40ED-8B77-6FF77F8D180A}">
  <dimension ref="D5"/>
  <sheetViews>
    <sheetView workbookViewId="0">
      <selection activeCell="E9" sqref="E9"/>
    </sheetView>
  </sheetViews>
  <sheetFormatPr defaultRowHeight="14.4" x14ac:dyDescent="0.3"/>
  <sheetData>
    <row r="5" spans="4:4" x14ac:dyDescent="0.3">
      <c r="D5" s="96" t="s">
        <v>691</v>
      </c>
    </row>
  </sheetData>
  <hyperlinks>
    <hyperlink ref="D5" r:id="rId1" xr:uid="{4A866757-7DAE-41D3-AD61-35A326D39416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D8F8-F483-4C44-B2EC-5B738FB12139}">
  <dimension ref="A1"/>
  <sheetViews>
    <sheetView showGridLines="0" workbookViewId="0">
      <selection activeCell="I19" sqref="I19"/>
    </sheetView>
  </sheetViews>
  <sheetFormatPr defaultRowHeight="14.4" x14ac:dyDescent="0.3"/>
  <cols>
    <col min="1" max="16384" width="8.88671875" style="103"/>
  </cols>
  <sheetData/>
  <pageMargins left="0.7" right="0.7" top="0.75" bottom="0.75" header="0.3" footer="0.3"/>
  <pageSetup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89E6DF-2B7C-4867-A6DC-954B8A3854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Posts</vt:lpstr>
      <vt:lpstr>Posts1</vt:lpstr>
      <vt:lpstr>Engagement Summary1</vt:lpstr>
      <vt:lpstr>Campaign Metadata</vt:lpstr>
      <vt:lpstr>Task2.1&amp;2.2</vt:lpstr>
      <vt:lpstr>Task2.3&amp;2.4</vt:lpstr>
      <vt:lpstr>Task 3.1&amp;3.2</vt:lpstr>
      <vt:lpstr>Task3.3&amp;3.4</vt:lpstr>
      <vt:lpstr>Task4.1&amp;4.2</vt:lpstr>
      <vt:lpstr>Task4.3&amp;4.4</vt:lpstr>
      <vt:lpstr>Engagement Summary</vt:lpstr>
      <vt:lpstr>Task5.1</vt:lpstr>
      <vt:lpstr>Task5.2</vt:lpstr>
      <vt:lpstr>Task6.1&amp;6.2</vt:lpstr>
      <vt:lpstr>6.3&amp;6.4</vt:lpstr>
      <vt:lpstr>Video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SHASHANK RACHA</cp:lastModifiedBy>
  <dcterms:modified xsi:type="dcterms:W3CDTF">2025-12-24T16:12:43Z</dcterms:modified>
</cp:coreProperties>
</file>